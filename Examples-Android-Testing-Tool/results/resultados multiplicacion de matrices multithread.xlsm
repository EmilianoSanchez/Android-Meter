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miliano\Google Drive\Workspace\Android projects\Test-Android-Black-Box-Tool\results\"/>
    </mc:Choice>
  </mc:AlternateContent>
  <bookViews>
    <workbookView xWindow="0" yWindow="0" windowWidth="20415" windowHeight="7650"/>
  </bookViews>
  <sheets>
    <sheet name="results2 (1)" sheetId="1" r:id="rId1"/>
  </sheets>
  <externalReferences>
    <externalReference r:id="rId2"/>
  </externalReferences>
  <calcPr calcId="0"/>
</workbook>
</file>

<file path=xl/calcChain.xml><?xml version="1.0" encoding="utf-8"?>
<calcChain xmlns="http://schemas.openxmlformats.org/spreadsheetml/2006/main">
  <c r="S63" i="1" l="1"/>
  <c r="S62" i="1"/>
  <c r="S61" i="1"/>
  <c r="S60" i="1"/>
  <c r="S59" i="1"/>
  <c r="S58" i="1"/>
  <c r="S57" i="1"/>
  <c r="S56" i="1"/>
  <c r="S55" i="1"/>
  <c r="S54" i="1"/>
  <c r="S42" i="1"/>
  <c r="S41" i="1"/>
  <c r="S40" i="1"/>
  <c r="S39" i="1"/>
  <c r="S38" i="1"/>
  <c r="S37" i="1"/>
  <c r="S36" i="1"/>
  <c r="S35" i="1"/>
  <c r="S34" i="1"/>
  <c r="S33" i="1"/>
  <c r="S21" i="1"/>
  <c r="S20" i="1"/>
  <c r="S19" i="1"/>
  <c r="S18" i="1"/>
  <c r="S17" i="1"/>
  <c r="S16" i="1"/>
  <c r="S15" i="1"/>
  <c r="S14" i="1"/>
  <c r="S13" i="1"/>
  <c r="S12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5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4" i="1"/>
  <c r="E3" i="1"/>
  <c r="E2" i="1"/>
</calcChain>
</file>

<file path=xl/sharedStrings.xml><?xml version="1.0" encoding="utf-8"?>
<sst xmlns="http://schemas.openxmlformats.org/spreadsheetml/2006/main" count="198" uniqueCount="25">
  <si>
    <t>OperationID</t>
  </si>
  <si>
    <t>AColumnMetric</t>
  </si>
  <si>
    <t>ARowsMetric</t>
  </si>
  <si>
    <t>BColumnMetric</t>
  </si>
  <si>
    <t>CPU 2D Mark</t>
  </si>
  <si>
    <t>CPU 3D Mark</t>
  </si>
  <si>
    <t>CPU Architecture</t>
  </si>
  <si>
    <t>CPU Mark</t>
  </si>
  <si>
    <t>CPU cores</t>
  </si>
  <si>
    <t>Device Model</t>
  </si>
  <si>
    <t>Disk Mark</t>
  </si>
  <si>
    <t>Free memory in MBs</t>
  </si>
  <si>
    <t>Mem Mark</t>
  </si>
  <si>
    <t>Mem Size</t>
  </si>
  <si>
    <t>Memory usage in %</t>
  </si>
  <si>
    <t>Response time (in nano seconds)</t>
  </si>
  <si>
    <t>AArch64</t>
  </si>
  <si>
    <t>Lenovo_K50_T5</t>
  </si>
  <si>
    <t>Complexity</t>
  </si>
  <si>
    <t>Component name</t>
  </si>
  <si>
    <t>Matrix Multiplication</t>
  </si>
  <si>
    <t>Matrix Multiplication MultiThread</t>
  </si>
  <si>
    <t>ARMv7</t>
  </si>
  <si>
    <t>GT_I9300</t>
  </si>
  <si>
    <t>C2104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</si>
</sst>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Single thread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[1]results2!$E$2:$E$11</c:f>
              <c:numCache>
                <c:formatCode>General</c:formatCode>
                <c:ptCount val="10"/>
                <c:pt idx="0">
                  <c:v>89590320</c:v>
                </c:pt>
                <c:pt idx="1">
                  <c:v>51801750</c:v>
                </c:pt>
                <c:pt idx="2">
                  <c:v>38801140</c:v>
                </c:pt>
                <c:pt idx="3">
                  <c:v>38378832</c:v>
                </c:pt>
                <c:pt idx="4">
                  <c:v>40611900</c:v>
                </c:pt>
                <c:pt idx="5">
                  <c:v>88758153</c:v>
                </c:pt>
                <c:pt idx="6">
                  <c:v>31698240</c:v>
                </c:pt>
                <c:pt idx="7">
                  <c:v>103534200</c:v>
                </c:pt>
                <c:pt idx="8">
                  <c:v>81270756</c:v>
                </c:pt>
                <c:pt idx="9">
                  <c:v>34786768</c:v>
                </c:pt>
              </c:numCache>
            </c:numRef>
          </c:xVal>
          <c:yVal>
            <c:numRef>
              <c:f>[1]results2!$R$2:$R$11</c:f>
              <c:numCache>
                <c:formatCode>General</c:formatCode>
                <c:ptCount val="10"/>
                <c:pt idx="0">
                  <c:v>11.793163434</c:v>
                </c:pt>
                <c:pt idx="1">
                  <c:v>5.4652525550000002</c:v>
                </c:pt>
                <c:pt idx="2">
                  <c:v>3.6967495800000001</c:v>
                </c:pt>
                <c:pt idx="3">
                  <c:v>3.4525866019999998</c:v>
                </c:pt>
                <c:pt idx="4">
                  <c:v>5.2004272829999998</c:v>
                </c:pt>
                <c:pt idx="5">
                  <c:v>8.9758583860000005</c:v>
                </c:pt>
                <c:pt idx="6">
                  <c:v>3.8397680429999999</c:v>
                </c:pt>
                <c:pt idx="7">
                  <c:v>13.044956508</c:v>
                </c:pt>
                <c:pt idx="8">
                  <c:v>9.44687929</c:v>
                </c:pt>
                <c:pt idx="9">
                  <c:v>3.3214405629999999</c:v>
                </c:pt>
              </c:numCache>
            </c:numRef>
          </c:yVal>
          <c:smooth val="0"/>
        </c:ser>
        <c:ser>
          <c:idx val="1"/>
          <c:order val="1"/>
          <c:tx>
            <c:v>Multithread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[1]results2!$E$12:$E$21</c:f>
              <c:numCache>
                <c:formatCode>General</c:formatCode>
                <c:ptCount val="10"/>
                <c:pt idx="0">
                  <c:v>89590320</c:v>
                </c:pt>
                <c:pt idx="1">
                  <c:v>51801750</c:v>
                </c:pt>
                <c:pt idx="2">
                  <c:v>38801140</c:v>
                </c:pt>
                <c:pt idx="3">
                  <c:v>38378832</c:v>
                </c:pt>
                <c:pt idx="4">
                  <c:v>40611900</c:v>
                </c:pt>
                <c:pt idx="5">
                  <c:v>88758153</c:v>
                </c:pt>
                <c:pt idx="6">
                  <c:v>31698240</c:v>
                </c:pt>
                <c:pt idx="7">
                  <c:v>103534200</c:v>
                </c:pt>
                <c:pt idx="8">
                  <c:v>81270756</c:v>
                </c:pt>
                <c:pt idx="9">
                  <c:v>34786768</c:v>
                </c:pt>
              </c:numCache>
            </c:numRef>
          </c:xVal>
          <c:yVal>
            <c:numRef>
              <c:f>[1]results2!$R$12:$R$21</c:f>
              <c:numCache>
                <c:formatCode>General</c:formatCode>
                <c:ptCount val="10"/>
                <c:pt idx="0">
                  <c:v>12.323210742000001</c:v>
                </c:pt>
                <c:pt idx="1">
                  <c:v>6.7757363030000004</c:v>
                </c:pt>
                <c:pt idx="2">
                  <c:v>4.5595299860000003</c:v>
                </c:pt>
                <c:pt idx="3">
                  <c:v>4.3591027010000003</c:v>
                </c:pt>
                <c:pt idx="4">
                  <c:v>5.7325194560000003</c:v>
                </c:pt>
                <c:pt idx="5">
                  <c:v>10.96911338</c:v>
                </c:pt>
                <c:pt idx="6">
                  <c:v>4.2215168609999996</c:v>
                </c:pt>
                <c:pt idx="7">
                  <c:v>13.994414771000001</c:v>
                </c:pt>
                <c:pt idx="8">
                  <c:v>10.416725162000001</c:v>
                </c:pt>
                <c:pt idx="9">
                  <c:v>4.0759652070000003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9072896"/>
        <c:axId val="-679071264"/>
      </c:scatterChart>
      <c:valAx>
        <c:axId val="-67907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679071264"/>
        <c:crosses val="autoZero"/>
        <c:crossBetween val="midCat"/>
      </c:valAx>
      <c:valAx>
        <c:axId val="-67907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679072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Single thread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'results2 (1)'!$E$23:$E$32</c:f>
              <c:numCache>
                <c:formatCode>General</c:formatCode>
                <c:ptCount val="10"/>
                <c:pt idx="0">
                  <c:v>61985682</c:v>
                </c:pt>
                <c:pt idx="1">
                  <c:v>37244312</c:v>
                </c:pt>
                <c:pt idx="2">
                  <c:v>52462557</c:v>
                </c:pt>
                <c:pt idx="3">
                  <c:v>100637800</c:v>
                </c:pt>
                <c:pt idx="4">
                  <c:v>84053760</c:v>
                </c:pt>
                <c:pt idx="5">
                  <c:v>81144000</c:v>
                </c:pt>
                <c:pt idx="6">
                  <c:v>38853558</c:v>
                </c:pt>
                <c:pt idx="7">
                  <c:v>16080609</c:v>
                </c:pt>
                <c:pt idx="8">
                  <c:v>16764618</c:v>
                </c:pt>
                <c:pt idx="9">
                  <c:v>28975500</c:v>
                </c:pt>
              </c:numCache>
            </c:numRef>
          </c:xVal>
          <c:yVal>
            <c:numRef>
              <c:f>'results2 (1)'!$R$23:$R$32</c:f>
              <c:numCache>
                <c:formatCode>General</c:formatCode>
                <c:ptCount val="10"/>
                <c:pt idx="0">
                  <c:v>5.6543763350000003</c:v>
                </c:pt>
                <c:pt idx="1">
                  <c:v>2.8995505430000001</c:v>
                </c:pt>
                <c:pt idx="2">
                  <c:v>5.572546086</c:v>
                </c:pt>
                <c:pt idx="3">
                  <c:v>8.0890346290000004</c:v>
                </c:pt>
                <c:pt idx="4">
                  <c:v>7.4836500450000001</c:v>
                </c:pt>
                <c:pt idx="5">
                  <c:v>7.4459822960000004</c:v>
                </c:pt>
                <c:pt idx="6">
                  <c:v>3.4236666269999998</c:v>
                </c:pt>
                <c:pt idx="7">
                  <c:v>1.078238375</c:v>
                </c:pt>
                <c:pt idx="8">
                  <c:v>1.140882792</c:v>
                </c:pt>
                <c:pt idx="9">
                  <c:v>2.1035031270000002</c:v>
                </c:pt>
              </c:numCache>
            </c:numRef>
          </c:yVal>
          <c:smooth val="0"/>
        </c:ser>
        <c:ser>
          <c:idx val="1"/>
          <c:order val="1"/>
          <c:tx>
            <c:v>Multithread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'results2 (1)'!$E$33:$E$42</c:f>
              <c:numCache>
                <c:formatCode>General</c:formatCode>
                <c:ptCount val="10"/>
                <c:pt idx="0">
                  <c:v>61985682</c:v>
                </c:pt>
                <c:pt idx="1">
                  <c:v>37244312</c:v>
                </c:pt>
                <c:pt idx="2">
                  <c:v>52462557</c:v>
                </c:pt>
                <c:pt idx="3">
                  <c:v>100637800</c:v>
                </c:pt>
                <c:pt idx="4">
                  <c:v>84053760</c:v>
                </c:pt>
                <c:pt idx="5">
                  <c:v>81144000</c:v>
                </c:pt>
                <c:pt idx="6">
                  <c:v>38853558</c:v>
                </c:pt>
                <c:pt idx="7">
                  <c:v>16080609</c:v>
                </c:pt>
                <c:pt idx="8">
                  <c:v>16764618</c:v>
                </c:pt>
                <c:pt idx="9">
                  <c:v>28975500</c:v>
                </c:pt>
              </c:numCache>
            </c:numRef>
          </c:xVal>
          <c:yVal>
            <c:numRef>
              <c:f>'results2 (1)'!$R$33:$R$42</c:f>
              <c:numCache>
                <c:formatCode>General</c:formatCode>
                <c:ptCount val="10"/>
                <c:pt idx="0">
                  <c:v>2.0236773339999998</c:v>
                </c:pt>
                <c:pt idx="1">
                  <c:v>1.1332599590000001</c:v>
                </c:pt>
                <c:pt idx="2">
                  <c:v>2.1408742919999999</c:v>
                </c:pt>
                <c:pt idx="3">
                  <c:v>3.128444918</c:v>
                </c:pt>
                <c:pt idx="4">
                  <c:v>2.8621471679999999</c:v>
                </c:pt>
                <c:pt idx="5">
                  <c:v>2.837593917</c:v>
                </c:pt>
                <c:pt idx="6">
                  <c:v>1.331687209</c:v>
                </c:pt>
                <c:pt idx="7">
                  <c:v>0.48411495900000001</c:v>
                </c:pt>
                <c:pt idx="8">
                  <c:v>0.50890154099999996</c:v>
                </c:pt>
                <c:pt idx="9">
                  <c:v>0.85603383300000002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09416672"/>
        <c:axId val="-509417760"/>
      </c:scatterChart>
      <c:valAx>
        <c:axId val="-50941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509417760"/>
        <c:crosses val="autoZero"/>
        <c:crossBetween val="midCat"/>
      </c:valAx>
      <c:valAx>
        <c:axId val="-5094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509416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Single thread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'results2 (1)'!$E$2:$E$11</c:f>
              <c:numCache>
                <c:formatCode>General</c:formatCode>
                <c:ptCount val="10"/>
                <c:pt idx="0">
                  <c:v>94512600</c:v>
                </c:pt>
                <c:pt idx="1">
                  <c:v>13090682</c:v>
                </c:pt>
                <c:pt idx="2">
                  <c:v>112576290</c:v>
                </c:pt>
                <c:pt idx="3">
                  <c:v>8739744</c:v>
                </c:pt>
                <c:pt idx="4">
                  <c:v>9665775</c:v>
                </c:pt>
                <c:pt idx="5">
                  <c:v>110253500</c:v>
                </c:pt>
                <c:pt idx="6">
                  <c:v>18626300</c:v>
                </c:pt>
                <c:pt idx="7">
                  <c:v>7018214</c:v>
                </c:pt>
                <c:pt idx="8">
                  <c:v>10002664</c:v>
                </c:pt>
                <c:pt idx="9">
                  <c:v>25779600</c:v>
                </c:pt>
              </c:numCache>
            </c:numRef>
          </c:xVal>
          <c:yVal>
            <c:numRef>
              <c:f>'results2 (1)'!$R$2:$R$11</c:f>
              <c:numCache>
                <c:formatCode>General</c:formatCode>
                <c:ptCount val="10"/>
                <c:pt idx="0">
                  <c:v>19.320663617000001</c:v>
                </c:pt>
                <c:pt idx="1">
                  <c:v>2.4501517700000002</c:v>
                </c:pt>
                <c:pt idx="2">
                  <c:v>22.822560156000002</c:v>
                </c:pt>
                <c:pt idx="3">
                  <c:v>1.0022346150000001</c:v>
                </c:pt>
                <c:pt idx="4">
                  <c:v>0.44320061500000002</c:v>
                </c:pt>
                <c:pt idx="5">
                  <c:v>21.247644386000001</c:v>
                </c:pt>
                <c:pt idx="6">
                  <c:v>3.360970462</c:v>
                </c:pt>
                <c:pt idx="7">
                  <c:v>0.46214084599999999</c:v>
                </c:pt>
                <c:pt idx="8">
                  <c:v>1.856540847</c:v>
                </c:pt>
                <c:pt idx="9">
                  <c:v>4.5754076929999998</c:v>
                </c:pt>
              </c:numCache>
            </c:numRef>
          </c:yVal>
          <c:smooth val="0"/>
        </c:ser>
        <c:ser>
          <c:idx val="1"/>
          <c:order val="1"/>
          <c:tx>
            <c:v>Multi thread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'results2 (1)'!$E$12:$E$21</c:f>
              <c:numCache>
                <c:formatCode>General</c:formatCode>
                <c:ptCount val="10"/>
                <c:pt idx="0">
                  <c:v>94512600</c:v>
                </c:pt>
                <c:pt idx="1">
                  <c:v>13090682</c:v>
                </c:pt>
                <c:pt idx="2">
                  <c:v>112576290</c:v>
                </c:pt>
                <c:pt idx="3">
                  <c:v>8739744</c:v>
                </c:pt>
                <c:pt idx="4">
                  <c:v>9665775</c:v>
                </c:pt>
                <c:pt idx="5">
                  <c:v>110253500</c:v>
                </c:pt>
                <c:pt idx="6">
                  <c:v>18626300</c:v>
                </c:pt>
                <c:pt idx="7">
                  <c:v>7018214</c:v>
                </c:pt>
                <c:pt idx="8">
                  <c:v>10002664</c:v>
                </c:pt>
                <c:pt idx="9">
                  <c:v>25779600</c:v>
                </c:pt>
              </c:numCache>
            </c:numRef>
          </c:xVal>
          <c:yVal>
            <c:numRef>
              <c:f>'results2 (1)'!$R$12:$R$21</c:f>
              <c:numCache>
                <c:formatCode>General</c:formatCode>
                <c:ptCount val="10"/>
                <c:pt idx="0">
                  <c:v>3.7171766929999999</c:v>
                </c:pt>
                <c:pt idx="1">
                  <c:v>0.45955215399999999</c:v>
                </c:pt>
                <c:pt idx="2">
                  <c:v>4.5265185389999996</c:v>
                </c:pt>
                <c:pt idx="3">
                  <c:v>0.224705077</c:v>
                </c:pt>
                <c:pt idx="4">
                  <c:v>0.17091261499999999</c:v>
                </c:pt>
                <c:pt idx="5">
                  <c:v>4.1835416160000003</c:v>
                </c:pt>
                <c:pt idx="6">
                  <c:v>0.64392361600000003</c:v>
                </c:pt>
                <c:pt idx="7">
                  <c:v>0.13009707700000001</c:v>
                </c:pt>
                <c:pt idx="8">
                  <c:v>0.34742384700000001</c:v>
                </c:pt>
                <c:pt idx="9">
                  <c:v>0.88981399999999999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77120160"/>
        <c:axId val="-477122880"/>
      </c:scatterChart>
      <c:valAx>
        <c:axId val="-47712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477122880"/>
        <c:crosses val="autoZero"/>
        <c:crossBetween val="midCat"/>
      </c:valAx>
      <c:valAx>
        <c:axId val="-47712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477120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44</xdr:row>
      <xdr:rowOff>100012</xdr:rowOff>
    </xdr:from>
    <xdr:to>
      <xdr:col>12</xdr:col>
      <xdr:colOff>161925</xdr:colOff>
      <xdr:row>58</xdr:row>
      <xdr:rowOff>176212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23</xdr:row>
      <xdr:rowOff>4762</xdr:rowOff>
    </xdr:from>
    <xdr:to>
      <xdr:col>12</xdr:col>
      <xdr:colOff>28575</xdr:colOff>
      <xdr:row>37</xdr:row>
      <xdr:rowOff>80962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152400</xdr:colOff>
      <xdr:row>2</xdr:row>
      <xdr:rowOff>61912</xdr:rowOff>
    </xdr:from>
    <xdr:to>
      <xdr:col>12</xdr:col>
      <xdr:colOff>180975</xdr:colOff>
      <xdr:row>16</xdr:row>
      <xdr:rowOff>138112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iliano/Desktop/results2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s2"/>
    </sheetNames>
    <sheetDataSet>
      <sheetData sheetId="0">
        <row r="2">
          <cell r="E2">
            <v>89590320</v>
          </cell>
          <cell r="R2">
            <v>11.793163434</v>
          </cell>
        </row>
        <row r="3">
          <cell r="E3">
            <v>51801750</v>
          </cell>
          <cell r="R3">
            <v>5.4652525550000002</v>
          </cell>
        </row>
        <row r="4">
          <cell r="E4">
            <v>38801140</v>
          </cell>
          <cell r="R4">
            <v>3.6967495800000001</v>
          </cell>
        </row>
        <row r="5">
          <cell r="E5">
            <v>38378832</v>
          </cell>
          <cell r="R5">
            <v>3.4525866019999998</v>
          </cell>
        </row>
        <row r="6">
          <cell r="E6">
            <v>40611900</v>
          </cell>
          <cell r="R6">
            <v>5.2004272829999998</v>
          </cell>
        </row>
        <row r="7">
          <cell r="E7">
            <v>88758153</v>
          </cell>
          <cell r="R7">
            <v>8.9758583860000005</v>
          </cell>
        </row>
        <row r="8">
          <cell r="E8">
            <v>31698240</v>
          </cell>
          <cell r="R8">
            <v>3.8397680429999999</v>
          </cell>
        </row>
        <row r="9">
          <cell r="E9">
            <v>103534200</v>
          </cell>
          <cell r="R9">
            <v>13.044956508</v>
          </cell>
        </row>
        <row r="10">
          <cell r="E10">
            <v>81270756</v>
          </cell>
          <cell r="R10">
            <v>9.44687929</v>
          </cell>
        </row>
        <row r="11">
          <cell r="E11">
            <v>34786768</v>
          </cell>
          <cell r="R11">
            <v>3.3214405629999999</v>
          </cell>
        </row>
        <row r="12">
          <cell r="E12">
            <v>89590320</v>
          </cell>
          <cell r="R12">
            <v>12.323210742000001</v>
          </cell>
        </row>
        <row r="13">
          <cell r="E13">
            <v>51801750</v>
          </cell>
          <cell r="R13">
            <v>6.7757363030000004</v>
          </cell>
        </row>
        <row r="14">
          <cell r="E14">
            <v>38801140</v>
          </cell>
          <cell r="R14">
            <v>4.5595299860000003</v>
          </cell>
        </row>
        <row r="15">
          <cell r="E15">
            <v>38378832</v>
          </cell>
          <cell r="R15">
            <v>4.3591027010000003</v>
          </cell>
        </row>
        <row r="16">
          <cell r="E16">
            <v>40611900</v>
          </cell>
          <cell r="R16">
            <v>5.7325194560000003</v>
          </cell>
        </row>
        <row r="17">
          <cell r="E17">
            <v>88758153</v>
          </cell>
          <cell r="R17">
            <v>10.96911338</v>
          </cell>
        </row>
        <row r="18">
          <cell r="E18">
            <v>31698240</v>
          </cell>
          <cell r="R18">
            <v>4.2215168609999996</v>
          </cell>
        </row>
        <row r="19">
          <cell r="E19">
            <v>103534200</v>
          </cell>
          <cell r="R19">
            <v>13.994414771000001</v>
          </cell>
        </row>
        <row r="20">
          <cell r="E20">
            <v>81270756</v>
          </cell>
          <cell r="R20">
            <v>10.416725162000001</v>
          </cell>
        </row>
        <row r="21">
          <cell r="E21">
            <v>34786768</v>
          </cell>
          <cell r="R21">
            <v>4.0759652070000003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3"/>
  <sheetViews>
    <sheetView tabSelected="1" topLeftCell="F1" workbookViewId="0">
      <selection activeCell="S12" sqref="S12"/>
    </sheetView>
  </sheetViews>
  <sheetFormatPr baseColWidth="10" defaultRowHeight="15" x14ac:dyDescent="0.25"/>
  <cols>
    <col min="11" max="11" width="33.85546875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18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19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</row>
    <row r="2" spans="1:19" x14ac:dyDescent="0.25">
      <c r="A2">
        <v>0</v>
      </c>
      <c r="B2">
        <v>577</v>
      </c>
      <c r="C2">
        <v>364</v>
      </c>
      <c r="D2">
        <v>450</v>
      </c>
      <c r="E2">
        <f>B2*C2*D2</f>
        <v>94512600</v>
      </c>
      <c r="F2">
        <v>3598</v>
      </c>
      <c r="G2">
        <v>1370</v>
      </c>
      <c r="H2" t="s">
        <v>16</v>
      </c>
      <c r="I2">
        <v>151265</v>
      </c>
      <c r="J2">
        <v>8</v>
      </c>
      <c r="K2" t="s">
        <v>20</v>
      </c>
      <c r="L2" t="s">
        <v>17</v>
      </c>
      <c r="M2">
        <v>36645</v>
      </c>
      <c r="N2">
        <v>452</v>
      </c>
      <c r="O2">
        <v>5383</v>
      </c>
      <c r="P2">
        <v>1886</v>
      </c>
      <c r="Q2">
        <v>1</v>
      </c>
      <c r="R2">
        <v>19.320663617000001</v>
      </c>
    </row>
    <row r="3" spans="1:19" x14ac:dyDescent="0.25">
      <c r="A3">
        <v>1</v>
      </c>
      <c r="B3">
        <v>218</v>
      </c>
      <c r="C3">
        <v>103</v>
      </c>
      <c r="D3">
        <v>583</v>
      </c>
      <c r="E3">
        <f t="shared" ref="E3:E21" si="0">B3*C3*D3</f>
        <v>13090682</v>
      </c>
      <c r="F3">
        <v>3598</v>
      </c>
      <c r="G3">
        <v>1370</v>
      </c>
      <c r="H3" t="s">
        <v>16</v>
      </c>
      <c r="I3">
        <v>151265</v>
      </c>
      <c r="J3">
        <v>8</v>
      </c>
      <c r="K3" t="s">
        <v>20</v>
      </c>
      <c r="L3" t="s">
        <v>17</v>
      </c>
      <c r="M3">
        <v>36645</v>
      </c>
      <c r="N3">
        <v>447</v>
      </c>
      <c r="O3">
        <v>5383</v>
      </c>
      <c r="P3">
        <v>1886</v>
      </c>
      <c r="Q3">
        <v>1</v>
      </c>
      <c r="R3">
        <v>2.4501517700000002</v>
      </c>
    </row>
    <row r="4" spans="1:19" x14ac:dyDescent="0.25">
      <c r="A4">
        <v>2</v>
      </c>
      <c r="B4">
        <v>545</v>
      </c>
      <c r="C4">
        <v>346</v>
      </c>
      <c r="D4">
        <v>597</v>
      </c>
      <c r="E4">
        <f t="shared" si="0"/>
        <v>112576290</v>
      </c>
      <c r="F4">
        <v>3598</v>
      </c>
      <c r="G4">
        <v>1370</v>
      </c>
      <c r="H4" t="s">
        <v>16</v>
      </c>
      <c r="I4">
        <v>151265</v>
      </c>
      <c r="J4">
        <v>8</v>
      </c>
      <c r="K4" t="s">
        <v>20</v>
      </c>
      <c r="L4" t="s">
        <v>17</v>
      </c>
      <c r="M4">
        <v>36645</v>
      </c>
      <c r="N4">
        <v>446</v>
      </c>
      <c r="O4">
        <v>5383</v>
      </c>
      <c r="P4">
        <v>1886</v>
      </c>
      <c r="Q4">
        <v>1</v>
      </c>
      <c r="R4">
        <v>22.822560156000002</v>
      </c>
    </row>
    <row r="5" spans="1:19" x14ac:dyDescent="0.25">
      <c r="A5">
        <v>3</v>
      </c>
      <c r="B5">
        <v>596</v>
      </c>
      <c r="C5">
        <v>141</v>
      </c>
      <c r="D5">
        <v>104</v>
      </c>
      <c r="E5">
        <f>B5*C5*D5</f>
        <v>8739744</v>
      </c>
      <c r="F5">
        <v>3598</v>
      </c>
      <c r="G5">
        <v>1370</v>
      </c>
      <c r="H5" t="s">
        <v>16</v>
      </c>
      <c r="I5">
        <v>151265</v>
      </c>
      <c r="J5">
        <v>8</v>
      </c>
      <c r="K5" t="s">
        <v>20</v>
      </c>
      <c r="L5" t="s">
        <v>17</v>
      </c>
      <c r="M5">
        <v>36645</v>
      </c>
      <c r="N5">
        <v>446</v>
      </c>
      <c r="O5">
        <v>5383</v>
      </c>
      <c r="P5">
        <v>1886</v>
      </c>
      <c r="Q5">
        <v>1</v>
      </c>
      <c r="R5">
        <v>1.0022346150000001</v>
      </c>
    </row>
    <row r="6" spans="1:19" x14ac:dyDescent="0.25">
      <c r="A6">
        <v>4</v>
      </c>
      <c r="B6">
        <v>119</v>
      </c>
      <c r="C6">
        <v>475</v>
      </c>
      <c r="D6">
        <v>171</v>
      </c>
      <c r="E6">
        <f t="shared" si="0"/>
        <v>9665775</v>
      </c>
      <c r="F6">
        <v>3598</v>
      </c>
      <c r="G6">
        <v>1370</v>
      </c>
      <c r="H6" t="s">
        <v>16</v>
      </c>
      <c r="I6">
        <v>151265</v>
      </c>
      <c r="J6">
        <v>8</v>
      </c>
      <c r="K6" t="s">
        <v>20</v>
      </c>
      <c r="L6" t="s">
        <v>17</v>
      </c>
      <c r="M6">
        <v>36645</v>
      </c>
      <c r="N6">
        <v>445</v>
      </c>
      <c r="O6">
        <v>5383</v>
      </c>
      <c r="P6">
        <v>1886</v>
      </c>
      <c r="Q6">
        <v>1</v>
      </c>
      <c r="R6">
        <v>0.44320061500000002</v>
      </c>
    </row>
    <row r="7" spans="1:19" x14ac:dyDescent="0.25">
      <c r="A7">
        <v>5</v>
      </c>
      <c r="B7">
        <v>436</v>
      </c>
      <c r="C7">
        <v>425</v>
      </c>
      <c r="D7">
        <v>595</v>
      </c>
      <c r="E7">
        <f t="shared" si="0"/>
        <v>110253500</v>
      </c>
      <c r="F7">
        <v>3598</v>
      </c>
      <c r="G7">
        <v>1370</v>
      </c>
      <c r="H7" t="s">
        <v>16</v>
      </c>
      <c r="I7">
        <v>151265</v>
      </c>
      <c r="J7">
        <v>8</v>
      </c>
      <c r="K7" t="s">
        <v>20</v>
      </c>
      <c r="L7" t="s">
        <v>17</v>
      </c>
      <c r="M7">
        <v>36645</v>
      </c>
      <c r="N7">
        <v>444</v>
      </c>
      <c r="O7">
        <v>5383</v>
      </c>
      <c r="P7">
        <v>1886</v>
      </c>
      <c r="Q7">
        <v>1</v>
      </c>
      <c r="R7">
        <v>21.247644386000001</v>
      </c>
    </row>
    <row r="8" spans="1:19" x14ac:dyDescent="0.25">
      <c r="A8">
        <v>6</v>
      </c>
      <c r="B8">
        <v>275</v>
      </c>
      <c r="C8">
        <v>236</v>
      </c>
      <c r="D8">
        <v>287</v>
      </c>
      <c r="E8">
        <f t="shared" si="0"/>
        <v>18626300</v>
      </c>
      <c r="F8">
        <v>3598</v>
      </c>
      <c r="G8">
        <v>1370</v>
      </c>
      <c r="H8" t="s">
        <v>16</v>
      </c>
      <c r="I8">
        <v>151265</v>
      </c>
      <c r="J8">
        <v>8</v>
      </c>
      <c r="K8" t="s">
        <v>20</v>
      </c>
      <c r="L8" t="s">
        <v>17</v>
      </c>
      <c r="M8">
        <v>36645</v>
      </c>
      <c r="N8">
        <v>443</v>
      </c>
      <c r="O8">
        <v>5383</v>
      </c>
      <c r="P8">
        <v>1886</v>
      </c>
      <c r="Q8">
        <v>1</v>
      </c>
      <c r="R8">
        <v>3.360970462</v>
      </c>
    </row>
    <row r="9" spans="1:19" x14ac:dyDescent="0.25">
      <c r="A9">
        <v>7</v>
      </c>
      <c r="B9">
        <v>217</v>
      </c>
      <c r="C9">
        <v>157</v>
      </c>
      <c r="D9">
        <v>206</v>
      </c>
      <c r="E9">
        <f t="shared" si="0"/>
        <v>7018214</v>
      </c>
      <c r="F9">
        <v>3598</v>
      </c>
      <c r="G9">
        <v>1370</v>
      </c>
      <c r="H9" t="s">
        <v>16</v>
      </c>
      <c r="I9">
        <v>151265</v>
      </c>
      <c r="J9">
        <v>8</v>
      </c>
      <c r="K9" t="s">
        <v>20</v>
      </c>
      <c r="L9" t="s">
        <v>17</v>
      </c>
      <c r="M9">
        <v>36645</v>
      </c>
      <c r="N9">
        <v>443</v>
      </c>
      <c r="O9">
        <v>5383</v>
      </c>
      <c r="P9">
        <v>1886</v>
      </c>
      <c r="Q9">
        <v>1</v>
      </c>
      <c r="R9">
        <v>0.46214084599999999</v>
      </c>
    </row>
    <row r="10" spans="1:19" x14ac:dyDescent="0.25">
      <c r="A10">
        <v>8</v>
      </c>
      <c r="B10">
        <v>316</v>
      </c>
      <c r="C10">
        <v>119</v>
      </c>
      <c r="D10">
        <v>266</v>
      </c>
      <c r="E10">
        <f t="shared" si="0"/>
        <v>10002664</v>
      </c>
      <c r="F10">
        <v>3598</v>
      </c>
      <c r="G10">
        <v>1370</v>
      </c>
      <c r="H10" t="s">
        <v>16</v>
      </c>
      <c r="I10">
        <v>151265</v>
      </c>
      <c r="J10">
        <v>8</v>
      </c>
      <c r="K10" t="s">
        <v>20</v>
      </c>
      <c r="L10" t="s">
        <v>17</v>
      </c>
      <c r="M10">
        <v>36645</v>
      </c>
      <c r="N10">
        <v>444</v>
      </c>
      <c r="O10">
        <v>5383</v>
      </c>
      <c r="P10">
        <v>1886</v>
      </c>
      <c r="Q10">
        <v>1</v>
      </c>
      <c r="R10">
        <v>1.856540847</v>
      </c>
    </row>
    <row r="11" spans="1:19" x14ac:dyDescent="0.25">
      <c r="A11">
        <v>9</v>
      </c>
      <c r="B11">
        <v>336</v>
      </c>
      <c r="C11">
        <v>225</v>
      </c>
      <c r="D11">
        <v>341</v>
      </c>
      <c r="E11">
        <f t="shared" si="0"/>
        <v>25779600</v>
      </c>
      <c r="F11">
        <v>3598</v>
      </c>
      <c r="G11">
        <v>1370</v>
      </c>
      <c r="H11" t="s">
        <v>16</v>
      </c>
      <c r="I11">
        <v>151265</v>
      </c>
      <c r="J11">
        <v>8</v>
      </c>
      <c r="K11" t="s">
        <v>20</v>
      </c>
      <c r="L11" t="s">
        <v>17</v>
      </c>
      <c r="M11">
        <v>36645</v>
      </c>
      <c r="N11">
        <v>445</v>
      </c>
      <c r="O11">
        <v>5383</v>
      </c>
      <c r="P11">
        <v>1886</v>
      </c>
      <c r="Q11">
        <v>1</v>
      </c>
      <c r="R11">
        <v>4.5754076929999998</v>
      </c>
    </row>
    <row r="12" spans="1:19" x14ac:dyDescent="0.25">
      <c r="A12">
        <v>10</v>
      </c>
      <c r="B12">
        <v>577</v>
      </c>
      <c r="C12">
        <v>364</v>
      </c>
      <c r="D12">
        <v>450</v>
      </c>
      <c r="E12">
        <f t="shared" si="0"/>
        <v>94512600</v>
      </c>
      <c r="F12">
        <v>3598</v>
      </c>
      <c r="G12">
        <v>1370</v>
      </c>
      <c r="H12" t="s">
        <v>16</v>
      </c>
      <c r="I12">
        <v>151265</v>
      </c>
      <c r="J12">
        <v>8</v>
      </c>
      <c r="K12" t="s">
        <v>21</v>
      </c>
      <c r="L12" t="s">
        <v>17</v>
      </c>
      <c r="M12">
        <v>36645</v>
      </c>
      <c r="N12">
        <v>443</v>
      </c>
      <c r="O12">
        <v>5383</v>
      </c>
      <c r="P12">
        <v>1886</v>
      </c>
      <c r="Q12">
        <v>1</v>
      </c>
      <c r="R12">
        <v>3.7171766929999999</v>
      </c>
      <c r="S12">
        <f>R2/R12</f>
        <v>5.1976715697652205</v>
      </c>
    </row>
    <row r="13" spans="1:19" x14ac:dyDescent="0.25">
      <c r="A13">
        <v>11</v>
      </c>
      <c r="B13">
        <v>218</v>
      </c>
      <c r="C13">
        <v>103</v>
      </c>
      <c r="D13">
        <v>583</v>
      </c>
      <c r="E13">
        <f t="shared" si="0"/>
        <v>13090682</v>
      </c>
      <c r="F13">
        <v>3598</v>
      </c>
      <c r="G13">
        <v>1370</v>
      </c>
      <c r="H13" t="s">
        <v>16</v>
      </c>
      <c r="I13">
        <v>151265</v>
      </c>
      <c r="J13">
        <v>8</v>
      </c>
      <c r="K13" t="s">
        <v>21</v>
      </c>
      <c r="L13" t="s">
        <v>17</v>
      </c>
      <c r="M13">
        <v>36645</v>
      </c>
      <c r="N13">
        <v>441</v>
      </c>
      <c r="O13">
        <v>5383</v>
      </c>
      <c r="P13">
        <v>1886</v>
      </c>
      <c r="Q13">
        <v>1</v>
      </c>
      <c r="R13">
        <v>0.45955215399999999</v>
      </c>
      <c r="S13">
        <f t="shared" ref="S13:S21" si="1">R3/R13</f>
        <v>5.3316076285870269</v>
      </c>
    </row>
    <row r="14" spans="1:19" x14ac:dyDescent="0.25">
      <c r="A14">
        <v>12</v>
      </c>
      <c r="B14">
        <v>545</v>
      </c>
      <c r="C14">
        <v>346</v>
      </c>
      <c r="D14">
        <v>597</v>
      </c>
      <c r="E14">
        <f t="shared" si="0"/>
        <v>112576290</v>
      </c>
      <c r="F14">
        <v>3598</v>
      </c>
      <c r="G14">
        <v>1370</v>
      </c>
      <c r="H14" t="s">
        <v>16</v>
      </c>
      <c r="I14">
        <v>151265</v>
      </c>
      <c r="J14">
        <v>8</v>
      </c>
      <c r="K14" t="s">
        <v>21</v>
      </c>
      <c r="L14" t="s">
        <v>17</v>
      </c>
      <c r="M14">
        <v>36645</v>
      </c>
      <c r="N14">
        <v>441</v>
      </c>
      <c r="O14">
        <v>5383</v>
      </c>
      <c r="P14">
        <v>1886</v>
      </c>
      <c r="Q14">
        <v>1</v>
      </c>
      <c r="R14">
        <v>4.5265185389999996</v>
      </c>
      <c r="S14">
        <f t="shared" si="1"/>
        <v>5.0419676754581397</v>
      </c>
    </row>
    <row r="15" spans="1:19" x14ac:dyDescent="0.25">
      <c r="A15">
        <v>13</v>
      </c>
      <c r="B15">
        <v>596</v>
      </c>
      <c r="C15">
        <v>141</v>
      </c>
      <c r="D15">
        <v>104</v>
      </c>
      <c r="E15">
        <f t="shared" si="0"/>
        <v>8739744</v>
      </c>
      <c r="F15">
        <v>3598</v>
      </c>
      <c r="G15">
        <v>1370</v>
      </c>
      <c r="H15" t="s">
        <v>16</v>
      </c>
      <c r="I15">
        <v>151265</v>
      </c>
      <c r="J15">
        <v>8</v>
      </c>
      <c r="K15" t="s">
        <v>21</v>
      </c>
      <c r="L15" t="s">
        <v>17</v>
      </c>
      <c r="M15">
        <v>36645</v>
      </c>
      <c r="N15">
        <v>442</v>
      </c>
      <c r="O15">
        <v>5383</v>
      </c>
      <c r="P15">
        <v>1886</v>
      </c>
      <c r="Q15">
        <v>1</v>
      </c>
      <c r="R15">
        <v>0.224705077</v>
      </c>
      <c r="S15">
        <f t="shared" si="1"/>
        <v>4.4602223874096092</v>
      </c>
    </row>
    <row r="16" spans="1:19" x14ac:dyDescent="0.25">
      <c r="A16">
        <v>14</v>
      </c>
      <c r="B16">
        <v>119</v>
      </c>
      <c r="C16">
        <v>475</v>
      </c>
      <c r="D16">
        <v>171</v>
      </c>
      <c r="E16">
        <f t="shared" si="0"/>
        <v>9665775</v>
      </c>
      <c r="F16">
        <v>3598</v>
      </c>
      <c r="G16">
        <v>1370</v>
      </c>
      <c r="H16" t="s">
        <v>16</v>
      </c>
      <c r="I16">
        <v>151265</v>
      </c>
      <c r="J16">
        <v>8</v>
      </c>
      <c r="K16" t="s">
        <v>21</v>
      </c>
      <c r="L16" t="s">
        <v>17</v>
      </c>
      <c r="M16">
        <v>36645</v>
      </c>
      <c r="N16">
        <v>441</v>
      </c>
      <c r="O16">
        <v>5383</v>
      </c>
      <c r="P16">
        <v>1886</v>
      </c>
      <c r="Q16">
        <v>1</v>
      </c>
      <c r="R16">
        <v>0.17091261499999999</v>
      </c>
      <c r="S16">
        <f t="shared" si="1"/>
        <v>2.5931416180133926</v>
      </c>
    </row>
    <row r="17" spans="1:19" x14ac:dyDescent="0.25">
      <c r="A17">
        <v>15</v>
      </c>
      <c r="B17">
        <v>436</v>
      </c>
      <c r="C17">
        <v>425</v>
      </c>
      <c r="D17">
        <v>595</v>
      </c>
      <c r="E17">
        <f t="shared" si="0"/>
        <v>110253500</v>
      </c>
      <c r="F17">
        <v>3598</v>
      </c>
      <c r="G17">
        <v>1370</v>
      </c>
      <c r="H17" t="s">
        <v>16</v>
      </c>
      <c r="I17">
        <v>151265</v>
      </c>
      <c r="J17">
        <v>8</v>
      </c>
      <c r="K17" t="s">
        <v>21</v>
      </c>
      <c r="L17" t="s">
        <v>17</v>
      </c>
      <c r="M17">
        <v>36645</v>
      </c>
      <c r="N17">
        <v>441</v>
      </c>
      <c r="O17">
        <v>5383</v>
      </c>
      <c r="P17">
        <v>1886</v>
      </c>
      <c r="Q17">
        <v>1</v>
      </c>
      <c r="R17">
        <v>4.1835416160000003</v>
      </c>
      <c r="S17">
        <f t="shared" si="1"/>
        <v>5.0788653098939314</v>
      </c>
    </row>
    <row r="18" spans="1:19" x14ac:dyDescent="0.25">
      <c r="A18">
        <v>16</v>
      </c>
      <c r="B18">
        <v>275</v>
      </c>
      <c r="C18">
        <v>236</v>
      </c>
      <c r="D18">
        <v>287</v>
      </c>
      <c r="E18">
        <f t="shared" si="0"/>
        <v>18626300</v>
      </c>
      <c r="F18">
        <v>3598</v>
      </c>
      <c r="G18">
        <v>1370</v>
      </c>
      <c r="H18" t="s">
        <v>16</v>
      </c>
      <c r="I18">
        <v>151265</v>
      </c>
      <c r="J18">
        <v>8</v>
      </c>
      <c r="K18" t="s">
        <v>21</v>
      </c>
      <c r="L18" t="s">
        <v>17</v>
      </c>
      <c r="M18">
        <v>36645</v>
      </c>
      <c r="N18">
        <v>443</v>
      </c>
      <c r="O18">
        <v>5383</v>
      </c>
      <c r="P18">
        <v>1886</v>
      </c>
      <c r="Q18">
        <v>1</v>
      </c>
      <c r="R18">
        <v>0.64392361600000003</v>
      </c>
      <c r="S18">
        <f t="shared" si="1"/>
        <v>5.2195173130596908</v>
      </c>
    </row>
    <row r="19" spans="1:19" x14ac:dyDescent="0.25">
      <c r="A19">
        <v>17</v>
      </c>
      <c r="B19">
        <v>217</v>
      </c>
      <c r="C19">
        <v>157</v>
      </c>
      <c r="D19">
        <v>206</v>
      </c>
      <c r="E19">
        <f t="shared" si="0"/>
        <v>7018214</v>
      </c>
      <c r="F19">
        <v>3598</v>
      </c>
      <c r="G19">
        <v>1370</v>
      </c>
      <c r="H19" t="s">
        <v>16</v>
      </c>
      <c r="I19">
        <v>151265</v>
      </c>
      <c r="J19">
        <v>8</v>
      </c>
      <c r="K19" t="s">
        <v>21</v>
      </c>
      <c r="L19" t="s">
        <v>17</v>
      </c>
      <c r="M19">
        <v>36645</v>
      </c>
      <c r="N19">
        <v>445</v>
      </c>
      <c r="O19">
        <v>5383</v>
      </c>
      <c r="P19">
        <v>1886</v>
      </c>
      <c r="Q19">
        <v>1</v>
      </c>
      <c r="R19">
        <v>0.13009707700000001</v>
      </c>
      <c r="S19">
        <f t="shared" si="1"/>
        <v>3.5522769354764212</v>
      </c>
    </row>
    <row r="20" spans="1:19" x14ac:dyDescent="0.25">
      <c r="A20">
        <v>18</v>
      </c>
      <c r="B20">
        <v>316</v>
      </c>
      <c r="C20">
        <v>119</v>
      </c>
      <c r="D20">
        <v>266</v>
      </c>
      <c r="E20">
        <f t="shared" si="0"/>
        <v>10002664</v>
      </c>
      <c r="F20">
        <v>3598</v>
      </c>
      <c r="G20">
        <v>1370</v>
      </c>
      <c r="H20" t="s">
        <v>16</v>
      </c>
      <c r="I20">
        <v>151265</v>
      </c>
      <c r="J20">
        <v>8</v>
      </c>
      <c r="K20" t="s">
        <v>21</v>
      </c>
      <c r="L20" t="s">
        <v>17</v>
      </c>
      <c r="M20">
        <v>36645</v>
      </c>
      <c r="N20">
        <v>445</v>
      </c>
      <c r="O20">
        <v>5383</v>
      </c>
      <c r="P20">
        <v>1886</v>
      </c>
      <c r="Q20">
        <v>1</v>
      </c>
      <c r="R20">
        <v>0.34742384700000001</v>
      </c>
      <c r="S20">
        <f t="shared" si="1"/>
        <v>5.3437346429475232</v>
      </c>
    </row>
    <row r="21" spans="1:19" x14ac:dyDescent="0.25">
      <c r="A21">
        <v>19</v>
      </c>
      <c r="B21">
        <v>336</v>
      </c>
      <c r="C21">
        <v>225</v>
      </c>
      <c r="D21">
        <v>341</v>
      </c>
      <c r="E21">
        <f t="shared" si="0"/>
        <v>25779600</v>
      </c>
      <c r="F21">
        <v>3598</v>
      </c>
      <c r="G21">
        <v>1370</v>
      </c>
      <c r="H21" t="s">
        <v>16</v>
      </c>
      <c r="I21">
        <v>151265</v>
      </c>
      <c r="J21">
        <v>8</v>
      </c>
      <c r="K21" t="s">
        <v>21</v>
      </c>
      <c r="L21" t="s">
        <v>17</v>
      </c>
      <c r="M21">
        <v>36645</v>
      </c>
      <c r="N21">
        <v>445</v>
      </c>
      <c r="O21">
        <v>5383</v>
      </c>
      <c r="P21">
        <v>1886</v>
      </c>
      <c r="Q21">
        <v>1</v>
      </c>
      <c r="R21">
        <v>0.88981399999999999</v>
      </c>
      <c r="S21">
        <f t="shared" si="1"/>
        <v>5.1419821367162122</v>
      </c>
    </row>
    <row r="23" spans="1:19" x14ac:dyDescent="0.25">
      <c r="A23">
        <v>0</v>
      </c>
      <c r="B23">
        <v>482</v>
      </c>
      <c r="C23">
        <v>297</v>
      </c>
      <c r="D23">
        <v>433</v>
      </c>
      <c r="E23">
        <f>B23*C23*D23</f>
        <v>61985682</v>
      </c>
      <c r="F23">
        <v>2524</v>
      </c>
      <c r="G23">
        <v>849</v>
      </c>
      <c r="H23" t="s">
        <v>22</v>
      </c>
      <c r="I23">
        <v>9354</v>
      </c>
      <c r="J23">
        <v>4</v>
      </c>
      <c r="K23" t="s">
        <v>20</v>
      </c>
      <c r="L23" t="s">
        <v>23</v>
      </c>
      <c r="M23">
        <v>4851</v>
      </c>
      <c r="N23">
        <v>150</v>
      </c>
      <c r="O23">
        <v>1239</v>
      </c>
      <c r="P23">
        <v>820</v>
      </c>
      <c r="Q23">
        <v>1</v>
      </c>
      <c r="R23">
        <v>5.6543763350000003</v>
      </c>
    </row>
    <row r="24" spans="1:19" x14ac:dyDescent="0.25">
      <c r="A24">
        <v>1</v>
      </c>
      <c r="B24">
        <v>343</v>
      </c>
      <c r="C24">
        <v>277</v>
      </c>
      <c r="D24">
        <v>392</v>
      </c>
      <c r="E24">
        <f t="shared" ref="E24:E42" si="2">B24*C24*D24</f>
        <v>37244312</v>
      </c>
      <c r="F24">
        <v>2524</v>
      </c>
      <c r="G24">
        <v>849</v>
      </c>
      <c r="H24" t="s">
        <v>22</v>
      </c>
      <c r="I24">
        <v>9354</v>
      </c>
      <c r="J24">
        <v>4</v>
      </c>
      <c r="K24" t="s">
        <v>20</v>
      </c>
      <c r="L24" t="s">
        <v>23</v>
      </c>
      <c r="M24">
        <v>4851</v>
      </c>
      <c r="N24">
        <v>149</v>
      </c>
      <c r="O24">
        <v>1239</v>
      </c>
      <c r="P24">
        <v>820</v>
      </c>
      <c r="Q24">
        <v>1</v>
      </c>
      <c r="R24">
        <v>2.8995505430000001</v>
      </c>
    </row>
    <row r="25" spans="1:19" x14ac:dyDescent="0.25">
      <c r="A25">
        <v>2</v>
      </c>
      <c r="B25">
        <v>553</v>
      </c>
      <c r="C25">
        <v>249</v>
      </c>
      <c r="D25">
        <v>381</v>
      </c>
      <c r="E25">
        <f t="shared" si="2"/>
        <v>52462557</v>
      </c>
      <c r="F25">
        <v>2524</v>
      </c>
      <c r="G25">
        <v>849</v>
      </c>
      <c r="H25" t="s">
        <v>22</v>
      </c>
      <c r="I25">
        <v>9354</v>
      </c>
      <c r="J25">
        <v>4</v>
      </c>
      <c r="K25" t="s">
        <v>20</v>
      </c>
      <c r="L25" t="s">
        <v>23</v>
      </c>
      <c r="M25">
        <v>4851</v>
      </c>
      <c r="N25">
        <v>144</v>
      </c>
      <c r="O25">
        <v>1239</v>
      </c>
      <c r="P25">
        <v>820</v>
      </c>
      <c r="Q25">
        <v>1</v>
      </c>
      <c r="R25">
        <v>5.572546086</v>
      </c>
    </row>
    <row r="26" spans="1:19" x14ac:dyDescent="0.25">
      <c r="A26">
        <v>3</v>
      </c>
      <c r="B26">
        <v>365</v>
      </c>
      <c r="C26">
        <v>565</v>
      </c>
      <c r="D26">
        <v>488</v>
      </c>
      <c r="E26">
        <f t="shared" si="2"/>
        <v>100637800</v>
      </c>
      <c r="F26">
        <v>2524</v>
      </c>
      <c r="G26">
        <v>849</v>
      </c>
      <c r="H26" t="s">
        <v>22</v>
      </c>
      <c r="I26">
        <v>9354</v>
      </c>
      <c r="J26">
        <v>4</v>
      </c>
      <c r="K26" t="s">
        <v>20</v>
      </c>
      <c r="L26" t="s">
        <v>23</v>
      </c>
      <c r="M26">
        <v>4851</v>
      </c>
      <c r="N26">
        <v>141</v>
      </c>
      <c r="O26">
        <v>1239</v>
      </c>
      <c r="P26">
        <v>820</v>
      </c>
      <c r="Q26">
        <v>1</v>
      </c>
      <c r="R26">
        <v>8.0890346290000004</v>
      </c>
    </row>
    <row r="27" spans="1:19" x14ac:dyDescent="0.25">
      <c r="A27">
        <v>4</v>
      </c>
      <c r="B27">
        <v>384</v>
      </c>
      <c r="C27">
        <v>530</v>
      </c>
      <c r="D27">
        <v>413</v>
      </c>
      <c r="E27">
        <f t="shared" si="2"/>
        <v>84053760</v>
      </c>
      <c r="F27">
        <v>2524</v>
      </c>
      <c r="G27">
        <v>849</v>
      </c>
      <c r="H27" t="s">
        <v>22</v>
      </c>
      <c r="I27">
        <v>9354</v>
      </c>
      <c r="J27">
        <v>4</v>
      </c>
      <c r="K27" t="s">
        <v>20</v>
      </c>
      <c r="L27" t="s">
        <v>23</v>
      </c>
      <c r="M27">
        <v>4851</v>
      </c>
      <c r="N27">
        <v>142</v>
      </c>
      <c r="O27">
        <v>1239</v>
      </c>
      <c r="P27">
        <v>820</v>
      </c>
      <c r="Q27">
        <v>1</v>
      </c>
      <c r="R27">
        <v>7.4836500450000001</v>
      </c>
    </row>
    <row r="28" spans="1:19" x14ac:dyDescent="0.25">
      <c r="A28">
        <v>5</v>
      </c>
      <c r="B28">
        <v>450</v>
      </c>
      <c r="C28">
        <v>322</v>
      </c>
      <c r="D28">
        <v>560</v>
      </c>
      <c r="E28">
        <f t="shared" si="2"/>
        <v>81144000</v>
      </c>
      <c r="F28">
        <v>2524</v>
      </c>
      <c r="G28">
        <v>849</v>
      </c>
      <c r="H28" t="s">
        <v>22</v>
      </c>
      <c r="I28">
        <v>9354</v>
      </c>
      <c r="J28">
        <v>4</v>
      </c>
      <c r="K28" t="s">
        <v>20</v>
      </c>
      <c r="L28" t="s">
        <v>23</v>
      </c>
      <c r="M28">
        <v>4851</v>
      </c>
      <c r="N28">
        <v>143</v>
      </c>
      <c r="O28">
        <v>1239</v>
      </c>
      <c r="P28">
        <v>820</v>
      </c>
      <c r="Q28">
        <v>1</v>
      </c>
      <c r="R28">
        <v>7.4459822960000004</v>
      </c>
    </row>
    <row r="29" spans="1:19" x14ac:dyDescent="0.25">
      <c r="A29">
        <v>6</v>
      </c>
      <c r="B29">
        <v>278</v>
      </c>
      <c r="C29">
        <v>293</v>
      </c>
      <c r="D29">
        <v>477</v>
      </c>
      <c r="E29">
        <f t="shared" si="2"/>
        <v>38853558</v>
      </c>
      <c r="F29">
        <v>2524</v>
      </c>
      <c r="G29">
        <v>849</v>
      </c>
      <c r="H29" t="s">
        <v>22</v>
      </c>
      <c r="I29">
        <v>9354</v>
      </c>
      <c r="J29">
        <v>4</v>
      </c>
      <c r="K29" t="s">
        <v>20</v>
      </c>
      <c r="L29" t="s">
        <v>23</v>
      </c>
      <c r="M29">
        <v>4851</v>
      </c>
      <c r="N29">
        <v>144</v>
      </c>
      <c r="O29">
        <v>1239</v>
      </c>
      <c r="P29">
        <v>820</v>
      </c>
      <c r="Q29">
        <v>1</v>
      </c>
      <c r="R29">
        <v>3.4236666269999998</v>
      </c>
    </row>
    <row r="30" spans="1:19" x14ac:dyDescent="0.25">
      <c r="A30">
        <v>7</v>
      </c>
      <c r="B30">
        <v>263</v>
      </c>
      <c r="C30">
        <v>267</v>
      </c>
      <c r="D30">
        <v>229</v>
      </c>
      <c r="E30">
        <f t="shared" si="2"/>
        <v>16080609</v>
      </c>
      <c r="F30">
        <v>2524</v>
      </c>
      <c r="G30">
        <v>849</v>
      </c>
      <c r="H30" t="s">
        <v>22</v>
      </c>
      <c r="I30">
        <v>9354</v>
      </c>
      <c r="J30">
        <v>4</v>
      </c>
      <c r="K30" t="s">
        <v>20</v>
      </c>
      <c r="L30" t="s">
        <v>23</v>
      </c>
      <c r="M30">
        <v>4851</v>
      </c>
      <c r="N30">
        <v>144</v>
      </c>
      <c r="O30">
        <v>1239</v>
      </c>
      <c r="P30">
        <v>820</v>
      </c>
      <c r="Q30">
        <v>1</v>
      </c>
      <c r="R30">
        <v>1.078238375</v>
      </c>
    </row>
    <row r="31" spans="1:19" x14ac:dyDescent="0.25">
      <c r="A31">
        <v>8</v>
      </c>
      <c r="B31">
        <v>221</v>
      </c>
      <c r="C31">
        <v>282</v>
      </c>
      <c r="D31">
        <v>269</v>
      </c>
      <c r="E31">
        <f t="shared" si="2"/>
        <v>16764618</v>
      </c>
      <c r="F31">
        <v>2524</v>
      </c>
      <c r="G31">
        <v>849</v>
      </c>
      <c r="H31" t="s">
        <v>22</v>
      </c>
      <c r="I31">
        <v>9354</v>
      </c>
      <c r="J31">
        <v>4</v>
      </c>
      <c r="K31" t="s">
        <v>20</v>
      </c>
      <c r="L31" t="s">
        <v>23</v>
      </c>
      <c r="M31">
        <v>4851</v>
      </c>
      <c r="N31">
        <v>144</v>
      </c>
      <c r="O31">
        <v>1239</v>
      </c>
      <c r="P31">
        <v>820</v>
      </c>
      <c r="Q31">
        <v>1</v>
      </c>
      <c r="R31">
        <v>1.140882792</v>
      </c>
    </row>
    <row r="32" spans="1:19" x14ac:dyDescent="0.25">
      <c r="A32">
        <v>9</v>
      </c>
      <c r="B32">
        <v>250</v>
      </c>
      <c r="C32">
        <v>282</v>
      </c>
      <c r="D32">
        <v>411</v>
      </c>
      <c r="E32">
        <f t="shared" si="2"/>
        <v>28975500</v>
      </c>
      <c r="F32">
        <v>2524</v>
      </c>
      <c r="G32">
        <v>849</v>
      </c>
      <c r="H32" t="s">
        <v>22</v>
      </c>
      <c r="I32">
        <v>9354</v>
      </c>
      <c r="J32">
        <v>4</v>
      </c>
      <c r="K32" t="s">
        <v>20</v>
      </c>
      <c r="L32" t="s">
        <v>23</v>
      </c>
      <c r="M32">
        <v>4851</v>
      </c>
      <c r="N32">
        <v>146</v>
      </c>
      <c r="O32">
        <v>1239</v>
      </c>
      <c r="P32">
        <v>820</v>
      </c>
      <c r="Q32">
        <v>1</v>
      </c>
      <c r="R32">
        <v>2.1035031270000002</v>
      </c>
    </row>
    <row r="33" spans="1:19" x14ac:dyDescent="0.25">
      <c r="A33">
        <v>10</v>
      </c>
      <c r="B33">
        <v>482</v>
      </c>
      <c r="C33">
        <v>297</v>
      </c>
      <c r="D33">
        <v>433</v>
      </c>
      <c r="E33">
        <f t="shared" si="2"/>
        <v>61985682</v>
      </c>
      <c r="F33">
        <v>2524</v>
      </c>
      <c r="G33">
        <v>849</v>
      </c>
      <c r="H33" t="s">
        <v>22</v>
      </c>
      <c r="I33">
        <v>9354</v>
      </c>
      <c r="J33">
        <v>4</v>
      </c>
      <c r="K33" t="s">
        <v>21</v>
      </c>
      <c r="L33" t="s">
        <v>23</v>
      </c>
      <c r="M33">
        <v>4851</v>
      </c>
      <c r="N33">
        <v>149</v>
      </c>
      <c r="O33">
        <v>1239</v>
      </c>
      <c r="P33">
        <v>820</v>
      </c>
      <c r="Q33">
        <v>1</v>
      </c>
      <c r="R33">
        <v>2.0236773339999998</v>
      </c>
      <c r="S33">
        <f t="shared" ref="S33:S42" si="3">R23/R33</f>
        <v>2.7941096339817979</v>
      </c>
    </row>
    <row r="34" spans="1:19" x14ac:dyDescent="0.25">
      <c r="A34">
        <v>11</v>
      </c>
      <c r="B34">
        <v>343</v>
      </c>
      <c r="C34">
        <v>277</v>
      </c>
      <c r="D34">
        <v>392</v>
      </c>
      <c r="E34">
        <f t="shared" si="2"/>
        <v>37244312</v>
      </c>
      <c r="F34">
        <v>2524</v>
      </c>
      <c r="G34">
        <v>849</v>
      </c>
      <c r="H34" t="s">
        <v>22</v>
      </c>
      <c r="I34">
        <v>9354</v>
      </c>
      <c r="J34">
        <v>4</v>
      </c>
      <c r="K34" t="s">
        <v>21</v>
      </c>
      <c r="L34" t="s">
        <v>23</v>
      </c>
      <c r="M34">
        <v>4851</v>
      </c>
      <c r="N34">
        <v>149</v>
      </c>
      <c r="O34">
        <v>1239</v>
      </c>
      <c r="P34">
        <v>820</v>
      </c>
      <c r="Q34">
        <v>1</v>
      </c>
      <c r="R34">
        <v>1.1332599590000001</v>
      </c>
      <c r="S34">
        <f t="shared" si="3"/>
        <v>2.5585925982583841</v>
      </c>
    </row>
    <row r="35" spans="1:19" x14ac:dyDescent="0.25">
      <c r="A35">
        <v>12</v>
      </c>
      <c r="B35">
        <v>553</v>
      </c>
      <c r="C35">
        <v>249</v>
      </c>
      <c r="D35">
        <v>381</v>
      </c>
      <c r="E35">
        <f t="shared" si="2"/>
        <v>52462557</v>
      </c>
      <c r="F35">
        <v>2524</v>
      </c>
      <c r="G35">
        <v>849</v>
      </c>
      <c r="H35" t="s">
        <v>22</v>
      </c>
      <c r="I35">
        <v>9354</v>
      </c>
      <c r="J35">
        <v>4</v>
      </c>
      <c r="K35" t="s">
        <v>21</v>
      </c>
      <c r="L35" t="s">
        <v>23</v>
      </c>
      <c r="M35">
        <v>4851</v>
      </c>
      <c r="N35">
        <v>149</v>
      </c>
      <c r="O35">
        <v>1239</v>
      </c>
      <c r="P35">
        <v>820</v>
      </c>
      <c r="Q35">
        <v>1</v>
      </c>
      <c r="R35">
        <v>2.1408742919999999</v>
      </c>
      <c r="S35">
        <f t="shared" si="3"/>
        <v>2.6029300771294421</v>
      </c>
    </row>
    <row r="36" spans="1:19" x14ac:dyDescent="0.25">
      <c r="A36">
        <v>13</v>
      </c>
      <c r="B36">
        <v>365</v>
      </c>
      <c r="C36">
        <v>565</v>
      </c>
      <c r="D36">
        <v>488</v>
      </c>
      <c r="E36">
        <f t="shared" si="2"/>
        <v>100637800</v>
      </c>
      <c r="F36">
        <v>2524</v>
      </c>
      <c r="G36">
        <v>849</v>
      </c>
      <c r="H36" t="s">
        <v>22</v>
      </c>
      <c r="I36">
        <v>9354</v>
      </c>
      <c r="J36">
        <v>4</v>
      </c>
      <c r="K36" t="s">
        <v>21</v>
      </c>
      <c r="L36" t="s">
        <v>23</v>
      </c>
      <c r="M36">
        <v>4851</v>
      </c>
      <c r="N36">
        <v>149</v>
      </c>
      <c r="O36">
        <v>1239</v>
      </c>
      <c r="P36">
        <v>820</v>
      </c>
      <c r="Q36">
        <v>1</v>
      </c>
      <c r="R36">
        <v>3.128444918</v>
      </c>
      <c r="S36">
        <f t="shared" si="3"/>
        <v>2.5856407387767857</v>
      </c>
    </row>
    <row r="37" spans="1:19" x14ac:dyDescent="0.25">
      <c r="A37">
        <v>14</v>
      </c>
      <c r="B37">
        <v>384</v>
      </c>
      <c r="C37">
        <v>530</v>
      </c>
      <c r="D37">
        <v>413</v>
      </c>
      <c r="E37">
        <f t="shared" si="2"/>
        <v>84053760</v>
      </c>
      <c r="F37">
        <v>2524</v>
      </c>
      <c r="G37">
        <v>849</v>
      </c>
      <c r="H37" t="s">
        <v>22</v>
      </c>
      <c r="I37">
        <v>9354</v>
      </c>
      <c r="J37">
        <v>4</v>
      </c>
      <c r="K37" t="s">
        <v>21</v>
      </c>
      <c r="L37" t="s">
        <v>23</v>
      </c>
      <c r="M37">
        <v>4851</v>
      </c>
      <c r="N37">
        <v>150</v>
      </c>
      <c r="O37">
        <v>1239</v>
      </c>
      <c r="P37">
        <v>820</v>
      </c>
      <c r="Q37">
        <v>1</v>
      </c>
      <c r="R37">
        <v>2.8621471679999999</v>
      </c>
      <c r="S37">
        <f t="shared" si="3"/>
        <v>2.6146978494573343</v>
      </c>
    </row>
    <row r="38" spans="1:19" x14ac:dyDescent="0.25">
      <c r="A38">
        <v>15</v>
      </c>
      <c r="B38">
        <v>450</v>
      </c>
      <c r="C38">
        <v>322</v>
      </c>
      <c r="D38">
        <v>560</v>
      </c>
      <c r="E38">
        <f t="shared" si="2"/>
        <v>81144000</v>
      </c>
      <c r="F38">
        <v>2524</v>
      </c>
      <c r="G38">
        <v>849</v>
      </c>
      <c r="H38" t="s">
        <v>22</v>
      </c>
      <c r="I38">
        <v>9354</v>
      </c>
      <c r="J38">
        <v>4</v>
      </c>
      <c r="K38" t="s">
        <v>21</v>
      </c>
      <c r="L38" t="s">
        <v>23</v>
      </c>
      <c r="M38">
        <v>4851</v>
      </c>
      <c r="N38">
        <v>149</v>
      </c>
      <c r="O38">
        <v>1239</v>
      </c>
      <c r="P38">
        <v>820</v>
      </c>
      <c r="Q38">
        <v>1</v>
      </c>
      <c r="R38">
        <v>2.837593917</v>
      </c>
      <c r="S38">
        <f t="shared" si="3"/>
        <v>2.624047877813378</v>
      </c>
    </row>
    <row r="39" spans="1:19" x14ac:dyDescent="0.25">
      <c r="A39">
        <v>16</v>
      </c>
      <c r="B39">
        <v>278</v>
      </c>
      <c r="C39">
        <v>293</v>
      </c>
      <c r="D39">
        <v>477</v>
      </c>
      <c r="E39">
        <f t="shared" si="2"/>
        <v>38853558</v>
      </c>
      <c r="F39">
        <v>2524</v>
      </c>
      <c r="G39">
        <v>849</v>
      </c>
      <c r="H39" t="s">
        <v>22</v>
      </c>
      <c r="I39">
        <v>9354</v>
      </c>
      <c r="J39">
        <v>4</v>
      </c>
      <c r="K39" t="s">
        <v>21</v>
      </c>
      <c r="L39" t="s">
        <v>23</v>
      </c>
      <c r="M39">
        <v>4851</v>
      </c>
      <c r="N39">
        <v>148</v>
      </c>
      <c r="O39">
        <v>1239</v>
      </c>
      <c r="P39">
        <v>820</v>
      </c>
      <c r="Q39">
        <v>1</v>
      </c>
      <c r="R39">
        <v>1.331687209</v>
      </c>
      <c r="S39">
        <f t="shared" si="3"/>
        <v>2.5709240156860287</v>
      </c>
    </row>
    <row r="40" spans="1:19" x14ac:dyDescent="0.25">
      <c r="A40">
        <v>17</v>
      </c>
      <c r="B40">
        <v>263</v>
      </c>
      <c r="C40">
        <v>267</v>
      </c>
      <c r="D40">
        <v>229</v>
      </c>
      <c r="E40">
        <f t="shared" si="2"/>
        <v>16080609</v>
      </c>
      <c r="F40">
        <v>2524</v>
      </c>
      <c r="G40">
        <v>849</v>
      </c>
      <c r="H40" t="s">
        <v>22</v>
      </c>
      <c r="I40">
        <v>9354</v>
      </c>
      <c r="J40">
        <v>4</v>
      </c>
      <c r="K40" t="s">
        <v>21</v>
      </c>
      <c r="L40" t="s">
        <v>23</v>
      </c>
      <c r="M40">
        <v>4851</v>
      </c>
      <c r="N40">
        <v>148</v>
      </c>
      <c r="O40">
        <v>1239</v>
      </c>
      <c r="P40">
        <v>820</v>
      </c>
      <c r="Q40">
        <v>1</v>
      </c>
      <c r="R40">
        <v>0.48411495900000001</v>
      </c>
      <c r="S40">
        <f t="shared" si="3"/>
        <v>2.2272362275837048</v>
      </c>
    </row>
    <row r="41" spans="1:19" x14ac:dyDescent="0.25">
      <c r="A41">
        <v>18</v>
      </c>
      <c r="B41">
        <v>221</v>
      </c>
      <c r="C41">
        <v>282</v>
      </c>
      <c r="D41">
        <v>269</v>
      </c>
      <c r="E41">
        <f t="shared" si="2"/>
        <v>16764618</v>
      </c>
      <c r="F41">
        <v>2524</v>
      </c>
      <c r="G41">
        <v>849</v>
      </c>
      <c r="H41" t="s">
        <v>22</v>
      </c>
      <c r="I41">
        <v>9354</v>
      </c>
      <c r="J41">
        <v>4</v>
      </c>
      <c r="K41" t="s">
        <v>21</v>
      </c>
      <c r="L41" t="s">
        <v>23</v>
      </c>
      <c r="M41">
        <v>4851</v>
      </c>
      <c r="N41">
        <v>148</v>
      </c>
      <c r="O41">
        <v>1239</v>
      </c>
      <c r="P41">
        <v>820</v>
      </c>
      <c r="Q41">
        <v>1</v>
      </c>
      <c r="R41">
        <v>0.50890154099999996</v>
      </c>
      <c r="S41">
        <f t="shared" si="3"/>
        <v>2.2418536791186492</v>
      </c>
    </row>
    <row r="42" spans="1:19" x14ac:dyDescent="0.25">
      <c r="A42">
        <v>19</v>
      </c>
      <c r="B42">
        <v>250</v>
      </c>
      <c r="C42">
        <v>282</v>
      </c>
      <c r="D42">
        <v>411</v>
      </c>
      <c r="E42">
        <f t="shared" si="2"/>
        <v>28975500</v>
      </c>
      <c r="F42">
        <v>2524</v>
      </c>
      <c r="G42">
        <v>849</v>
      </c>
      <c r="H42" t="s">
        <v>22</v>
      </c>
      <c r="I42">
        <v>9354</v>
      </c>
      <c r="J42">
        <v>4</v>
      </c>
      <c r="K42" t="s">
        <v>21</v>
      </c>
      <c r="L42" t="s">
        <v>23</v>
      </c>
      <c r="M42">
        <v>4851</v>
      </c>
      <c r="N42">
        <v>148</v>
      </c>
      <c r="O42">
        <v>1239</v>
      </c>
      <c r="P42">
        <v>820</v>
      </c>
      <c r="Q42">
        <v>1</v>
      </c>
      <c r="R42">
        <v>0.85603383300000002</v>
      </c>
      <c r="S42">
        <f t="shared" si="3"/>
        <v>2.4572663438175115</v>
      </c>
    </row>
    <row r="44" spans="1:19" x14ac:dyDescent="0.25">
      <c r="A44">
        <v>0</v>
      </c>
      <c r="B44">
        <v>354</v>
      </c>
      <c r="C44">
        <v>456</v>
      </c>
      <c r="D44">
        <v>555</v>
      </c>
      <c r="E44">
        <f>B44*C44*D44</f>
        <v>89590320</v>
      </c>
      <c r="F44">
        <v>1884</v>
      </c>
      <c r="G44">
        <v>570</v>
      </c>
      <c r="H44" t="s">
        <v>22</v>
      </c>
      <c r="I44">
        <v>3559</v>
      </c>
      <c r="J44">
        <v>2</v>
      </c>
      <c r="K44" t="s">
        <v>20</v>
      </c>
      <c r="L44" t="s">
        <v>24</v>
      </c>
      <c r="M44">
        <v>2835</v>
      </c>
      <c r="N44">
        <v>332</v>
      </c>
      <c r="O44">
        <v>2282</v>
      </c>
      <c r="P44">
        <v>829</v>
      </c>
      <c r="Q44">
        <v>1</v>
      </c>
      <c r="R44">
        <v>11.793163434</v>
      </c>
    </row>
    <row r="45" spans="1:19" x14ac:dyDescent="0.25">
      <c r="A45">
        <v>1</v>
      </c>
      <c r="B45">
        <v>483</v>
      </c>
      <c r="C45">
        <v>286</v>
      </c>
      <c r="D45">
        <v>375</v>
      </c>
      <c r="E45">
        <f t="shared" ref="E45:E63" si="4">B45*C45*D45</f>
        <v>51801750</v>
      </c>
      <c r="F45">
        <v>1884</v>
      </c>
      <c r="G45">
        <v>570</v>
      </c>
      <c r="H45" t="s">
        <v>22</v>
      </c>
      <c r="I45">
        <v>3559</v>
      </c>
      <c r="J45">
        <v>2</v>
      </c>
      <c r="K45" t="s">
        <v>20</v>
      </c>
      <c r="L45" t="s">
        <v>24</v>
      </c>
      <c r="M45">
        <v>2835</v>
      </c>
      <c r="N45">
        <v>326</v>
      </c>
      <c r="O45">
        <v>2282</v>
      </c>
      <c r="P45">
        <v>829</v>
      </c>
      <c r="Q45">
        <v>1</v>
      </c>
      <c r="R45">
        <v>5.4652525550000002</v>
      </c>
    </row>
    <row r="46" spans="1:19" x14ac:dyDescent="0.25">
      <c r="A46">
        <v>2</v>
      </c>
      <c r="B46">
        <v>238</v>
      </c>
      <c r="C46">
        <v>595</v>
      </c>
      <c r="D46">
        <v>274</v>
      </c>
      <c r="E46">
        <f t="shared" si="4"/>
        <v>38801140</v>
      </c>
      <c r="F46">
        <v>1884</v>
      </c>
      <c r="G46">
        <v>570</v>
      </c>
      <c r="H46" t="s">
        <v>22</v>
      </c>
      <c r="I46">
        <v>3559</v>
      </c>
      <c r="J46">
        <v>2</v>
      </c>
      <c r="K46" t="s">
        <v>20</v>
      </c>
      <c r="L46" t="s">
        <v>24</v>
      </c>
      <c r="M46">
        <v>2835</v>
      </c>
      <c r="N46">
        <v>325</v>
      </c>
      <c r="O46">
        <v>2282</v>
      </c>
      <c r="P46">
        <v>829</v>
      </c>
      <c r="Q46">
        <v>1</v>
      </c>
      <c r="R46">
        <v>3.6967495800000001</v>
      </c>
    </row>
    <row r="47" spans="1:19" x14ac:dyDescent="0.25">
      <c r="A47">
        <v>3</v>
      </c>
      <c r="B47">
        <v>349</v>
      </c>
      <c r="C47">
        <v>464</v>
      </c>
      <c r="D47">
        <v>237</v>
      </c>
      <c r="E47">
        <f t="shared" si="4"/>
        <v>38378832</v>
      </c>
      <c r="F47">
        <v>1884</v>
      </c>
      <c r="G47">
        <v>570</v>
      </c>
      <c r="H47" t="s">
        <v>22</v>
      </c>
      <c r="I47">
        <v>3559</v>
      </c>
      <c r="J47">
        <v>2</v>
      </c>
      <c r="K47" t="s">
        <v>20</v>
      </c>
      <c r="L47" t="s">
        <v>24</v>
      </c>
      <c r="M47">
        <v>2835</v>
      </c>
      <c r="N47">
        <v>324</v>
      </c>
      <c r="O47">
        <v>2282</v>
      </c>
      <c r="P47">
        <v>829</v>
      </c>
      <c r="Q47">
        <v>1</v>
      </c>
      <c r="R47">
        <v>3.4525866019999998</v>
      </c>
    </row>
    <row r="48" spans="1:19" x14ac:dyDescent="0.25">
      <c r="A48">
        <v>4</v>
      </c>
      <c r="B48">
        <v>233</v>
      </c>
      <c r="C48">
        <v>420</v>
      </c>
      <c r="D48">
        <v>415</v>
      </c>
      <c r="E48">
        <f t="shared" si="4"/>
        <v>40611900</v>
      </c>
      <c r="F48">
        <v>1884</v>
      </c>
      <c r="G48">
        <v>570</v>
      </c>
      <c r="H48" t="s">
        <v>22</v>
      </c>
      <c r="I48">
        <v>3559</v>
      </c>
      <c r="J48">
        <v>2</v>
      </c>
      <c r="K48" t="s">
        <v>20</v>
      </c>
      <c r="L48" t="s">
        <v>24</v>
      </c>
      <c r="M48">
        <v>2835</v>
      </c>
      <c r="N48">
        <v>323</v>
      </c>
      <c r="O48">
        <v>2282</v>
      </c>
      <c r="P48">
        <v>829</v>
      </c>
      <c r="Q48">
        <v>1</v>
      </c>
      <c r="R48">
        <v>5.2004272829999998</v>
      </c>
    </row>
    <row r="49" spans="1:19" x14ac:dyDescent="0.25">
      <c r="A49">
        <v>5</v>
      </c>
      <c r="B49">
        <v>407</v>
      </c>
      <c r="C49">
        <v>591</v>
      </c>
      <c r="D49">
        <v>369</v>
      </c>
      <c r="E49">
        <f t="shared" si="4"/>
        <v>88758153</v>
      </c>
      <c r="F49">
        <v>1884</v>
      </c>
      <c r="G49">
        <v>570</v>
      </c>
      <c r="H49" t="s">
        <v>22</v>
      </c>
      <c r="I49">
        <v>3559</v>
      </c>
      <c r="J49">
        <v>2</v>
      </c>
      <c r="K49" t="s">
        <v>20</v>
      </c>
      <c r="L49" t="s">
        <v>24</v>
      </c>
      <c r="M49">
        <v>2835</v>
      </c>
      <c r="N49">
        <v>321</v>
      </c>
      <c r="O49">
        <v>2282</v>
      </c>
      <c r="P49">
        <v>829</v>
      </c>
      <c r="Q49">
        <v>1</v>
      </c>
      <c r="R49">
        <v>8.9758583860000005</v>
      </c>
    </row>
    <row r="50" spans="1:19" x14ac:dyDescent="0.25">
      <c r="A50">
        <v>6</v>
      </c>
      <c r="B50">
        <v>267</v>
      </c>
      <c r="C50">
        <v>265</v>
      </c>
      <c r="D50">
        <v>448</v>
      </c>
      <c r="E50">
        <f t="shared" si="4"/>
        <v>31698240</v>
      </c>
      <c r="F50">
        <v>1884</v>
      </c>
      <c r="G50">
        <v>570</v>
      </c>
      <c r="H50" t="s">
        <v>22</v>
      </c>
      <c r="I50">
        <v>3559</v>
      </c>
      <c r="J50">
        <v>2</v>
      </c>
      <c r="K50" t="s">
        <v>20</v>
      </c>
      <c r="L50" t="s">
        <v>24</v>
      </c>
      <c r="M50">
        <v>2835</v>
      </c>
      <c r="N50">
        <v>320</v>
      </c>
      <c r="O50">
        <v>2282</v>
      </c>
      <c r="P50">
        <v>829</v>
      </c>
      <c r="Q50">
        <v>1</v>
      </c>
      <c r="R50">
        <v>3.8397680429999999</v>
      </c>
    </row>
    <row r="51" spans="1:19" x14ac:dyDescent="0.25">
      <c r="A51">
        <v>7</v>
      </c>
      <c r="B51">
        <v>450</v>
      </c>
      <c r="C51">
        <v>462</v>
      </c>
      <c r="D51">
        <v>498</v>
      </c>
      <c r="E51">
        <f t="shared" si="4"/>
        <v>103534200</v>
      </c>
      <c r="F51">
        <v>1884</v>
      </c>
      <c r="G51">
        <v>570</v>
      </c>
      <c r="H51" t="s">
        <v>22</v>
      </c>
      <c r="I51">
        <v>3559</v>
      </c>
      <c r="J51">
        <v>2</v>
      </c>
      <c r="K51" t="s">
        <v>20</v>
      </c>
      <c r="L51" t="s">
        <v>24</v>
      </c>
      <c r="M51">
        <v>2835</v>
      </c>
      <c r="N51">
        <v>322</v>
      </c>
      <c r="O51">
        <v>2282</v>
      </c>
      <c r="P51">
        <v>829</v>
      </c>
      <c r="Q51">
        <v>1</v>
      </c>
      <c r="R51">
        <v>13.044956508</v>
      </c>
    </row>
    <row r="52" spans="1:19" x14ac:dyDescent="0.25">
      <c r="A52">
        <v>8</v>
      </c>
      <c r="B52">
        <v>386</v>
      </c>
      <c r="C52">
        <v>557</v>
      </c>
      <c r="D52">
        <v>378</v>
      </c>
      <c r="E52">
        <f t="shared" si="4"/>
        <v>81270756</v>
      </c>
      <c r="F52">
        <v>1884</v>
      </c>
      <c r="G52">
        <v>570</v>
      </c>
      <c r="H52" t="s">
        <v>22</v>
      </c>
      <c r="I52">
        <v>3559</v>
      </c>
      <c r="J52">
        <v>2</v>
      </c>
      <c r="K52" t="s">
        <v>20</v>
      </c>
      <c r="L52" t="s">
        <v>24</v>
      </c>
      <c r="M52">
        <v>2835</v>
      </c>
      <c r="N52">
        <v>325</v>
      </c>
      <c r="O52">
        <v>2282</v>
      </c>
      <c r="P52">
        <v>829</v>
      </c>
      <c r="Q52">
        <v>1</v>
      </c>
      <c r="R52">
        <v>9.44687929</v>
      </c>
    </row>
    <row r="53" spans="1:19" x14ac:dyDescent="0.25">
      <c r="A53">
        <v>9</v>
      </c>
      <c r="B53">
        <v>376</v>
      </c>
      <c r="C53">
        <v>334</v>
      </c>
      <c r="D53">
        <v>277</v>
      </c>
      <c r="E53">
        <f t="shared" si="4"/>
        <v>34786768</v>
      </c>
      <c r="F53">
        <v>1884</v>
      </c>
      <c r="G53">
        <v>570</v>
      </c>
      <c r="H53" t="s">
        <v>22</v>
      </c>
      <c r="I53">
        <v>3559</v>
      </c>
      <c r="J53">
        <v>2</v>
      </c>
      <c r="K53" t="s">
        <v>20</v>
      </c>
      <c r="L53" t="s">
        <v>24</v>
      </c>
      <c r="M53">
        <v>2835</v>
      </c>
      <c r="N53">
        <v>325</v>
      </c>
      <c r="O53">
        <v>2282</v>
      </c>
      <c r="P53">
        <v>829</v>
      </c>
      <c r="Q53">
        <v>1</v>
      </c>
      <c r="R53">
        <v>3.3214405629999999</v>
      </c>
    </row>
    <row r="54" spans="1:19" x14ac:dyDescent="0.25">
      <c r="A54">
        <v>10</v>
      </c>
      <c r="B54">
        <v>354</v>
      </c>
      <c r="C54">
        <v>456</v>
      </c>
      <c r="D54">
        <v>555</v>
      </c>
      <c r="E54">
        <f t="shared" si="4"/>
        <v>89590320</v>
      </c>
      <c r="F54">
        <v>1884</v>
      </c>
      <c r="G54">
        <v>570</v>
      </c>
      <c r="H54" t="s">
        <v>22</v>
      </c>
      <c r="I54">
        <v>3559</v>
      </c>
      <c r="J54">
        <v>2</v>
      </c>
      <c r="K54" t="s">
        <v>21</v>
      </c>
      <c r="L54" t="s">
        <v>24</v>
      </c>
      <c r="M54">
        <v>2835</v>
      </c>
      <c r="N54">
        <v>324</v>
      </c>
      <c r="O54">
        <v>2282</v>
      </c>
      <c r="P54">
        <v>829</v>
      </c>
      <c r="Q54">
        <v>1</v>
      </c>
      <c r="R54">
        <v>12.323210742000001</v>
      </c>
      <c r="S54">
        <f t="shared" ref="S54:S63" si="5">R44/R54</f>
        <v>0.956987889025261</v>
      </c>
    </row>
    <row r="55" spans="1:19" x14ac:dyDescent="0.25">
      <c r="A55">
        <v>11</v>
      </c>
      <c r="B55">
        <v>483</v>
      </c>
      <c r="C55">
        <v>286</v>
      </c>
      <c r="D55">
        <v>375</v>
      </c>
      <c r="E55">
        <f t="shared" si="4"/>
        <v>51801750</v>
      </c>
      <c r="F55">
        <v>1884</v>
      </c>
      <c r="G55">
        <v>570</v>
      </c>
      <c r="H55" t="s">
        <v>22</v>
      </c>
      <c r="I55">
        <v>3559</v>
      </c>
      <c r="J55">
        <v>2</v>
      </c>
      <c r="K55" t="s">
        <v>21</v>
      </c>
      <c r="L55" t="s">
        <v>24</v>
      </c>
      <c r="M55">
        <v>2835</v>
      </c>
      <c r="N55">
        <v>329</v>
      </c>
      <c r="O55">
        <v>2282</v>
      </c>
      <c r="P55">
        <v>829</v>
      </c>
      <c r="Q55">
        <v>1</v>
      </c>
      <c r="R55">
        <v>6.7757363030000004</v>
      </c>
      <c r="S55">
        <f t="shared" si="5"/>
        <v>0.80659168400343806</v>
      </c>
    </row>
    <row r="56" spans="1:19" x14ac:dyDescent="0.25">
      <c r="A56">
        <v>12</v>
      </c>
      <c r="B56">
        <v>238</v>
      </c>
      <c r="C56">
        <v>595</v>
      </c>
      <c r="D56">
        <v>274</v>
      </c>
      <c r="E56">
        <f t="shared" si="4"/>
        <v>38801140</v>
      </c>
      <c r="F56">
        <v>1884</v>
      </c>
      <c r="G56">
        <v>570</v>
      </c>
      <c r="H56" t="s">
        <v>22</v>
      </c>
      <c r="I56">
        <v>3559</v>
      </c>
      <c r="J56">
        <v>2</v>
      </c>
      <c r="K56" t="s">
        <v>21</v>
      </c>
      <c r="L56" t="s">
        <v>24</v>
      </c>
      <c r="M56">
        <v>2835</v>
      </c>
      <c r="N56">
        <v>335</v>
      </c>
      <c r="O56">
        <v>2282</v>
      </c>
      <c r="P56">
        <v>829</v>
      </c>
      <c r="Q56">
        <v>1</v>
      </c>
      <c r="R56">
        <v>4.5595299860000003</v>
      </c>
      <c r="S56">
        <f t="shared" si="5"/>
        <v>0.81077426650352991</v>
      </c>
    </row>
    <row r="57" spans="1:19" x14ac:dyDescent="0.25">
      <c r="A57">
        <v>13</v>
      </c>
      <c r="B57">
        <v>349</v>
      </c>
      <c r="C57">
        <v>464</v>
      </c>
      <c r="D57">
        <v>237</v>
      </c>
      <c r="E57">
        <f t="shared" si="4"/>
        <v>38378832</v>
      </c>
      <c r="F57">
        <v>1884</v>
      </c>
      <c r="G57">
        <v>570</v>
      </c>
      <c r="H57" t="s">
        <v>22</v>
      </c>
      <c r="I57">
        <v>3559</v>
      </c>
      <c r="J57">
        <v>2</v>
      </c>
      <c r="K57" t="s">
        <v>21</v>
      </c>
      <c r="L57" t="s">
        <v>24</v>
      </c>
      <c r="M57">
        <v>2835</v>
      </c>
      <c r="N57">
        <v>334</v>
      </c>
      <c r="O57">
        <v>2282</v>
      </c>
      <c r="P57">
        <v>829</v>
      </c>
      <c r="Q57">
        <v>1</v>
      </c>
      <c r="R57">
        <v>4.3591027010000003</v>
      </c>
      <c r="S57">
        <f t="shared" si="5"/>
        <v>0.79204066497629411</v>
      </c>
    </row>
    <row r="58" spans="1:19" x14ac:dyDescent="0.25">
      <c r="A58">
        <v>14</v>
      </c>
      <c r="B58">
        <v>233</v>
      </c>
      <c r="C58">
        <v>420</v>
      </c>
      <c r="D58">
        <v>415</v>
      </c>
      <c r="E58">
        <f t="shared" si="4"/>
        <v>40611900</v>
      </c>
      <c r="F58">
        <v>1884</v>
      </c>
      <c r="G58">
        <v>570</v>
      </c>
      <c r="H58" t="s">
        <v>22</v>
      </c>
      <c r="I58">
        <v>3559</v>
      </c>
      <c r="J58">
        <v>2</v>
      </c>
      <c r="K58" t="s">
        <v>21</v>
      </c>
      <c r="L58" t="s">
        <v>24</v>
      </c>
      <c r="M58">
        <v>2835</v>
      </c>
      <c r="N58">
        <v>337</v>
      </c>
      <c r="O58">
        <v>2282</v>
      </c>
      <c r="P58">
        <v>829</v>
      </c>
      <c r="Q58">
        <v>1</v>
      </c>
      <c r="R58">
        <v>5.7325194560000003</v>
      </c>
      <c r="S58">
        <f t="shared" si="5"/>
        <v>0.90718004935106134</v>
      </c>
    </row>
    <row r="59" spans="1:19" x14ac:dyDescent="0.25">
      <c r="A59">
        <v>15</v>
      </c>
      <c r="B59">
        <v>407</v>
      </c>
      <c r="C59">
        <v>591</v>
      </c>
      <c r="D59">
        <v>369</v>
      </c>
      <c r="E59">
        <f t="shared" si="4"/>
        <v>88758153</v>
      </c>
      <c r="F59">
        <v>1884</v>
      </c>
      <c r="G59">
        <v>570</v>
      </c>
      <c r="H59" t="s">
        <v>22</v>
      </c>
      <c r="I59">
        <v>3559</v>
      </c>
      <c r="J59">
        <v>2</v>
      </c>
      <c r="K59" t="s">
        <v>21</v>
      </c>
      <c r="L59" t="s">
        <v>24</v>
      </c>
      <c r="M59">
        <v>2835</v>
      </c>
      <c r="N59">
        <v>339</v>
      </c>
      <c r="O59">
        <v>2282</v>
      </c>
      <c r="P59">
        <v>829</v>
      </c>
      <c r="Q59">
        <v>1</v>
      </c>
      <c r="R59">
        <v>10.96911338</v>
      </c>
      <c r="S59">
        <f t="shared" si="5"/>
        <v>0.81828476696810304</v>
      </c>
    </row>
    <row r="60" spans="1:19" x14ac:dyDescent="0.25">
      <c r="A60">
        <v>16</v>
      </c>
      <c r="B60">
        <v>267</v>
      </c>
      <c r="C60">
        <v>265</v>
      </c>
      <c r="D60">
        <v>448</v>
      </c>
      <c r="E60">
        <f t="shared" si="4"/>
        <v>31698240</v>
      </c>
      <c r="F60">
        <v>1884</v>
      </c>
      <c r="G60">
        <v>570</v>
      </c>
      <c r="H60" t="s">
        <v>22</v>
      </c>
      <c r="I60">
        <v>3559</v>
      </c>
      <c r="J60">
        <v>2</v>
      </c>
      <c r="K60" t="s">
        <v>21</v>
      </c>
      <c r="L60" t="s">
        <v>24</v>
      </c>
      <c r="M60">
        <v>2835</v>
      </c>
      <c r="N60">
        <v>338</v>
      </c>
      <c r="O60">
        <v>2282</v>
      </c>
      <c r="P60">
        <v>829</v>
      </c>
      <c r="Q60">
        <v>1</v>
      </c>
      <c r="R60">
        <v>4.2215168609999996</v>
      </c>
      <c r="S60">
        <f t="shared" si="5"/>
        <v>0.90957069921318034</v>
      </c>
    </row>
    <row r="61" spans="1:19" x14ac:dyDescent="0.25">
      <c r="A61">
        <v>17</v>
      </c>
      <c r="B61">
        <v>450</v>
      </c>
      <c r="C61">
        <v>462</v>
      </c>
      <c r="D61">
        <v>498</v>
      </c>
      <c r="E61">
        <f t="shared" si="4"/>
        <v>103534200</v>
      </c>
      <c r="F61">
        <v>1884</v>
      </c>
      <c r="G61">
        <v>570</v>
      </c>
      <c r="H61" t="s">
        <v>22</v>
      </c>
      <c r="I61">
        <v>3559</v>
      </c>
      <c r="J61">
        <v>2</v>
      </c>
      <c r="K61" t="s">
        <v>21</v>
      </c>
      <c r="L61" t="s">
        <v>24</v>
      </c>
      <c r="M61">
        <v>2835</v>
      </c>
      <c r="N61">
        <v>337</v>
      </c>
      <c r="O61">
        <v>2282</v>
      </c>
      <c r="P61">
        <v>829</v>
      </c>
      <c r="Q61">
        <v>1</v>
      </c>
      <c r="R61">
        <v>13.994414771000001</v>
      </c>
      <c r="S61">
        <f t="shared" si="5"/>
        <v>0.93215448601912809</v>
      </c>
    </row>
    <row r="62" spans="1:19" x14ac:dyDescent="0.25">
      <c r="A62">
        <v>18</v>
      </c>
      <c r="B62">
        <v>386</v>
      </c>
      <c r="C62">
        <v>557</v>
      </c>
      <c r="D62">
        <v>378</v>
      </c>
      <c r="E62">
        <f t="shared" si="4"/>
        <v>81270756</v>
      </c>
      <c r="F62">
        <v>1884</v>
      </c>
      <c r="G62">
        <v>570</v>
      </c>
      <c r="H62" t="s">
        <v>22</v>
      </c>
      <c r="I62">
        <v>3559</v>
      </c>
      <c r="J62">
        <v>2</v>
      </c>
      <c r="K62" t="s">
        <v>21</v>
      </c>
      <c r="L62" t="s">
        <v>24</v>
      </c>
      <c r="M62">
        <v>2835</v>
      </c>
      <c r="N62">
        <v>335</v>
      </c>
      <c r="O62">
        <v>2282</v>
      </c>
      <c r="P62">
        <v>829</v>
      </c>
      <c r="Q62">
        <v>1</v>
      </c>
      <c r="R62">
        <v>10.416725162000001</v>
      </c>
      <c r="S62">
        <f t="shared" si="5"/>
        <v>0.90689531912217691</v>
      </c>
    </row>
    <row r="63" spans="1:19" x14ac:dyDescent="0.25">
      <c r="A63">
        <v>19</v>
      </c>
      <c r="B63">
        <v>376</v>
      </c>
      <c r="C63">
        <v>334</v>
      </c>
      <c r="D63">
        <v>277</v>
      </c>
      <c r="E63">
        <f t="shared" si="4"/>
        <v>34786768</v>
      </c>
      <c r="F63">
        <v>1884</v>
      </c>
      <c r="G63">
        <v>570</v>
      </c>
      <c r="H63" t="s">
        <v>22</v>
      </c>
      <c r="I63">
        <v>3559</v>
      </c>
      <c r="J63">
        <v>2</v>
      </c>
      <c r="K63" t="s">
        <v>21</v>
      </c>
      <c r="L63" t="s">
        <v>24</v>
      </c>
      <c r="M63">
        <v>2835</v>
      </c>
      <c r="N63">
        <v>334</v>
      </c>
      <c r="O63">
        <v>2282</v>
      </c>
      <c r="P63">
        <v>829</v>
      </c>
      <c r="Q63">
        <v>1</v>
      </c>
      <c r="R63">
        <v>4.0759652070000003</v>
      </c>
      <c r="S63">
        <f t="shared" si="5"/>
        <v>0.81488442474823108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results2 (1)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 Sanchez</dc:creator>
  <cp:lastModifiedBy>Emiliano Sanchez</cp:lastModifiedBy>
  <dcterms:created xsi:type="dcterms:W3CDTF">2016-01-22T04:06:50Z</dcterms:created>
  <dcterms:modified xsi:type="dcterms:W3CDTF">2016-01-22T04:06:51Z</dcterms:modified>
</cp:coreProperties>
</file>