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miliano\Desktop\"/>
    </mc:Choice>
  </mc:AlternateContent>
  <bookViews>
    <workbookView xWindow="0" yWindow="0" windowWidth="20490" windowHeight="7755"/>
  </bookViews>
  <sheets>
    <sheet name="results Samsung" sheetId="1" r:id="rId1"/>
  </sheets>
  <calcPr calcId="152511"/>
</workbook>
</file>

<file path=xl/calcChain.xml><?xml version="1.0" encoding="utf-8"?>
<calcChain xmlns="http://schemas.openxmlformats.org/spreadsheetml/2006/main">
  <c r="C41" i="1" l="1"/>
  <c r="C40" i="1"/>
  <c r="C39" i="1"/>
  <c r="C38" i="1"/>
  <c r="C37" i="1"/>
  <c r="C36" i="1"/>
  <c r="C35" i="1"/>
  <c r="C34" i="1"/>
  <c r="C33" i="1"/>
  <c r="C32" i="1"/>
  <c r="C21" i="1"/>
  <c r="C20" i="1"/>
  <c r="C19" i="1"/>
  <c r="C18" i="1"/>
  <c r="C17" i="1"/>
  <c r="C16" i="1"/>
  <c r="C15" i="1"/>
  <c r="C14" i="1"/>
  <c r="C13" i="1"/>
  <c r="C12" i="1"/>
  <c r="C31" i="1"/>
  <c r="C30" i="1"/>
  <c r="C29" i="1"/>
  <c r="C28" i="1"/>
  <c r="C27" i="1"/>
  <c r="C26" i="1"/>
  <c r="C25" i="1"/>
  <c r="C24" i="1"/>
  <c r="C23" i="1"/>
  <c r="C22" i="1"/>
  <c r="C11" i="1"/>
  <c r="C10" i="1"/>
  <c r="C9" i="1"/>
  <c r="C8" i="1"/>
  <c r="C7" i="1"/>
  <c r="C6" i="1"/>
  <c r="C5" i="1"/>
  <c r="C4" i="1"/>
  <c r="C3" i="1"/>
  <c r="C2" i="1"/>
  <c r="B2" i="1"/>
  <c r="B41" i="1" l="1"/>
  <c r="B40" i="1"/>
  <c r="B39" i="1"/>
  <c r="B38" i="1"/>
  <c r="B37" i="1"/>
  <c r="B36" i="1"/>
  <c r="B35" i="1"/>
  <c r="B34" i="1"/>
  <c r="B33" i="1"/>
  <c r="B32" i="1"/>
  <c r="B21" i="1"/>
  <c r="B20" i="1"/>
  <c r="B19" i="1"/>
  <c r="B18" i="1"/>
  <c r="B17" i="1"/>
  <c r="B16" i="1"/>
  <c r="B15" i="1"/>
  <c r="B14" i="1"/>
  <c r="B13" i="1"/>
  <c r="B12" i="1"/>
  <c r="B25" i="1"/>
  <c r="B24" i="1"/>
  <c r="B7" i="1"/>
  <c r="B26" i="1"/>
  <c r="B29" i="1"/>
  <c r="B22" i="1"/>
  <c r="B31" i="1"/>
  <c r="B30" i="1"/>
  <c r="B28" i="1"/>
  <c r="B27" i="1"/>
  <c r="B23" i="1"/>
  <c r="B11" i="1"/>
  <c r="B10" i="1"/>
  <c r="B9" i="1"/>
  <c r="B8" i="1"/>
  <c r="B6" i="1"/>
  <c r="B5" i="1"/>
  <c r="B4" i="1"/>
  <c r="B3" i="1"/>
</calcChain>
</file>

<file path=xl/sharedStrings.xml><?xml version="1.0" encoding="utf-8"?>
<sst xmlns="http://schemas.openxmlformats.org/spreadsheetml/2006/main" count="89" uniqueCount="24">
  <si>
    <t>OperationID</t>
  </si>
  <si>
    <t>Response time (in nano seconds)</t>
  </si>
  <si>
    <t>Disk Mark</t>
  </si>
  <si>
    <t>CPU cores</t>
  </si>
  <si>
    <t>Mem Mark</t>
  </si>
  <si>
    <t>AColumnMetric</t>
  </si>
  <si>
    <t>Mem Size</t>
  </si>
  <si>
    <t>Memory usage in %</t>
  </si>
  <si>
    <t>Free memory in MBs</t>
  </si>
  <si>
    <t>CPU Architecture</t>
  </si>
  <si>
    <t>CPU 2D Mark</t>
  </si>
  <si>
    <t>CPU Mark</t>
  </si>
  <si>
    <t>CPU 3D Mark</t>
  </si>
  <si>
    <t>BColumnMetric</t>
  </si>
  <si>
    <t>ARowsMetric</t>
  </si>
  <si>
    <t>Device Model</t>
  </si>
  <si>
    <t>ARMv7</t>
  </si>
  <si>
    <t>GT_I9300</t>
  </si>
  <si>
    <t>Complexity</t>
  </si>
  <si>
    <t>Lenovo_K50_T5</t>
  </si>
  <si>
    <t>AArch64</t>
  </si>
  <si>
    <t>C2104</t>
  </si>
  <si>
    <t>CPU frequency</t>
  </si>
  <si>
    <t>Complexity over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</si>
</sst>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'results Samsung'!$B$2:$B$11</c:f>
              <c:numCache>
                <c:formatCode>General</c:formatCode>
                <c:ptCount val="10"/>
                <c:pt idx="0">
                  <c:v>133009968</c:v>
                </c:pt>
                <c:pt idx="1">
                  <c:v>37324350</c:v>
                </c:pt>
                <c:pt idx="2">
                  <c:v>296408</c:v>
                </c:pt>
                <c:pt idx="3">
                  <c:v>200539944</c:v>
                </c:pt>
                <c:pt idx="4">
                  <c:v>70011354</c:v>
                </c:pt>
                <c:pt idx="5">
                  <c:v>522559392</c:v>
                </c:pt>
                <c:pt idx="6">
                  <c:v>50756220</c:v>
                </c:pt>
                <c:pt idx="7">
                  <c:v>26298756</c:v>
                </c:pt>
                <c:pt idx="8">
                  <c:v>96826128</c:v>
                </c:pt>
                <c:pt idx="9">
                  <c:v>10993248</c:v>
                </c:pt>
              </c:numCache>
            </c:numRef>
          </c:xVal>
          <c:yVal>
            <c:numRef>
              <c:f>'results Samsung'!$D$2:$D$11</c:f>
              <c:numCache>
                <c:formatCode>General</c:formatCode>
                <c:ptCount val="10"/>
                <c:pt idx="0">
                  <c:v>14.881551217</c:v>
                </c:pt>
                <c:pt idx="1">
                  <c:v>3.7101145010000001</c:v>
                </c:pt>
                <c:pt idx="2">
                  <c:v>2.4201209000000001E-2</c:v>
                </c:pt>
                <c:pt idx="3">
                  <c:v>17.286039926000001</c:v>
                </c:pt>
                <c:pt idx="4">
                  <c:v>5.7613987099999999</c:v>
                </c:pt>
                <c:pt idx="5">
                  <c:v>56.871197109999997</c:v>
                </c:pt>
                <c:pt idx="6">
                  <c:v>3.774580544</c:v>
                </c:pt>
                <c:pt idx="7">
                  <c:v>1.979712044</c:v>
                </c:pt>
                <c:pt idx="8">
                  <c:v>8.3578486289999994</c:v>
                </c:pt>
                <c:pt idx="9">
                  <c:v>0.83618554199999995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'results Samsung'!$B$22:$B$31</c:f>
              <c:numCache>
                <c:formatCode>General</c:formatCode>
                <c:ptCount val="10"/>
                <c:pt idx="0">
                  <c:v>206215848</c:v>
                </c:pt>
                <c:pt idx="1">
                  <c:v>36968820</c:v>
                </c:pt>
                <c:pt idx="2">
                  <c:v>323868750</c:v>
                </c:pt>
                <c:pt idx="3">
                  <c:v>684156375</c:v>
                </c:pt>
                <c:pt idx="4">
                  <c:v>174523479</c:v>
                </c:pt>
                <c:pt idx="5">
                  <c:v>69363822</c:v>
                </c:pt>
                <c:pt idx="6">
                  <c:v>2794176</c:v>
                </c:pt>
                <c:pt idx="7">
                  <c:v>312223200</c:v>
                </c:pt>
                <c:pt idx="8">
                  <c:v>2408616</c:v>
                </c:pt>
                <c:pt idx="9">
                  <c:v>40745880</c:v>
                </c:pt>
              </c:numCache>
            </c:numRef>
          </c:xVal>
          <c:yVal>
            <c:numRef>
              <c:f>'results Samsung'!$D$22:$D$31</c:f>
              <c:numCache>
                <c:formatCode>General</c:formatCode>
                <c:ptCount val="10"/>
                <c:pt idx="0">
                  <c:v>47.08656508</c:v>
                </c:pt>
                <c:pt idx="1">
                  <c:v>3.2382596160000001</c:v>
                </c:pt>
                <c:pt idx="2">
                  <c:v>77.902932465999996</c:v>
                </c:pt>
                <c:pt idx="3">
                  <c:v>159.560362548</c:v>
                </c:pt>
                <c:pt idx="4">
                  <c:v>35.835781848000003</c:v>
                </c:pt>
                <c:pt idx="5">
                  <c:v>15.919603462</c:v>
                </c:pt>
                <c:pt idx="6">
                  <c:v>0.13104384599999999</c:v>
                </c:pt>
                <c:pt idx="7">
                  <c:v>74.549528926999997</c:v>
                </c:pt>
                <c:pt idx="8">
                  <c:v>0.14186653900000001</c:v>
                </c:pt>
                <c:pt idx="9">
                  <c:v>6.2376706159999999</c:v>
                </c:pt>
              </c:numCache>
            </c:numRef>
          </c:y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'results Samsung'!$B$12:$B$21</c:f>
              <c:numCache>
                <c:formatCode>General</c:formatCode>
                <c:ptCount val="10"/>
                <c:pt idx="0">
                  <c:v>15561840</c:v>
                </c:pt>
                <c:pt idx="1">
                  <c:v>76594560</c:v>
                </c:pt>
                <c:pt idx="2">
                  <c:v>199139520</c:v>
                </c:pt>
                <c:pt idx="3">
                  <c:v>4477333</c:v>
                </c:pt>
                <c:pt idx="4">
                  <c:v>27971184</c:v>
                </c:pt>
                <c:pt idx="5">
                  <c:v>312785445</c:v>
                </c:pt>
                <c:pt idx="6">
                  <c:v>8006320</c:v>
                </c:pt>
                <c:pt idx="7">
                  <c:v>16896000</c:v>
                </c:pt>
                <c:pt idx="8">
                  <c:v>148505780</c:v>
                </c:pt>
                <c:pt idx="9">
                  <c:v>206379888</c:v>
                </c:pt>
              </c:numCache>
            </c:numRef>
          </c:xVal>
          <c:yVal>
            <c:numRef>
              <c:f>'results Samsung'!$D$12:$D$21</c:f>
              <c:numCache>
                <c:formatCode>General</c:formatCode>
                <c:ptCount val="10"/>
                <c:pt idx="0">
                  <c:v>1.211353578</c:v>
                </c:pt>
                <c:pt idx="1">
                  <c:v>7.2637875779999996</c:v>
                </c:pt>
                <c:pt idx="2">
                  <c:v>21.441141460000001</c:v>
                </c:pt>
                <c:pt idx="3">
                  <c:v>0.321654204</c:v>
                </c:pt>
                <c:pt idx="4">
                  <c:v>3.1699374320000002</c:v>
                </c:pt>
                <c:pt idx="5">
                  <c:v>46.570273151999999</c:v>
                </c:pt>
                <c:pt idx="6">
                  <c:v>0.55031283399999997</c:v>
                </c:pt>
                <c:pt idx="7">
                  <c:v>1.829116435</c:v>
                </c:pt>
                <c:pt idx="8">
                  <c:v>23.357515638999999</c:v>
                </c:pt>
                <c:pt idx="9">
                  <c:v>27.590416600000001</c:v>
                </c:pt>
              </c:numCache>
            </c:numRef>
          </c:y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'results Samsung'!$B$32:$B$41</c:f>
              <c:numCache>
                <c:formatCode>General</c:formatCode>
                <c:ptCount val="10"/>
                <c:pt idx="0">
                  <c:v>22614336</c:v>
                </c:pt>
                <c:pt idx="1">
                  <c:v>688798940</c:v>
                </c:pt>
                <c:pt idx="2">
                  <c:v>1090800</c:v>
                </c:pt>
                <c:pt idx="3">
                  <c:v>52906788</c:v>
                </c:pt>
                <c:pt idx="4">
                  <c:v>94395000</c:v>
                </c:pt>
                <c:pt idx="5">
                  <c:v>6905528</c:v>
                </c:pt>
                <c:pt idx="6">
                  <c:v>62076520</c:v>
                </c:pt>
                <c:pt idx="7">
                  <c:v>292184640</c:v>
                </c:pt>
                <c:pt idx="8">
                  <c:v>68411273</c:v>
                </c:pt>
                <c:pt idx="9">
                  <c:v>12757680</c:v>
                </c:pt>
              </c:numCache>
            </c:numRef>
          </c:xVal>
          <c:yVal>
            <c:numRef>
              <c:f>'results Samsung'!$D$32:$D$41</c:f>
              <c:numCache>
                <c:formatCode>General</c:formatCode>
                <c:ptCount val="10"/>
                <c:pt idx="0">
                  <c:v>1.6861897690000001</c:v>
                </c:pt>
                <c:pt idx="1">
                  <c:v>149.764525163</c:v>
                </c:pt>
                <c:pt idx="2">
                  <c:v>4.786377E-2</c:v>
                </c:pt>
                <c:pt idx="3">
                  <c:v>8.9964240780000004</c:v>
                </c:pt>
                <c:pt idx="4">
                  <c:v>13.896853539</c:v>
                </c:pt>
                <c:pt idx="5">
                  <c:v>0.38915822999999999</c:v>
                </c:pt>
                <c:pt idx="6">
                  <c:v>13.616222693999999</c:v>
                </c:pt>
                <c:pt idx="7">
                  <c:v>59.994053004000001</c:v>
                </c:pt>
                <c:pt idx="8">
                  <c:v>13.804981769999999</c:v>
                </c:pt>
                <c:pt idx="9">
                  <c:v>0.50968292400000004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905120"/>
        <c:axId val="726904576"/>
      </c:scatterChart>
      <c:valAx>
        <c:axId val="72690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26904576"/>
        <c:crosses val="autoZero"/>
        <c:crossBetween val="midCat"/>
      </c:valAx>
      <c:valAx>
        <c:axId val="72690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2690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ARMv7 complexity over frequency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2793088363954506"/>
                  <c:y val="6.902777777777777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'results Samsung'!$C$2:$C$21</c:f>
              <c:numCache>
                <c:formatCode>General</c:formatCode>
                <c:ptCount val="20"/>
                <c:pt idx="0">
                  <c:v>95007120</c:v>
                </c:pt>
                <c:pt idx="1">
                  <c:v>26660250</c:v>
                </c:pt>
                <c:pt idx="2">
                  <c:v>211720</c:v>
                </c:pt>
                <c:pt idx="3">
                  <c:v>143242817.14285716</c:v>
                </c:pt>
                <c:pt idx="4">
                  <c:v>50008110</c:v>
                </c:pt>
                <c:pt idx="5">
                  <c:v>373256708.5714286</c:v>
                </c:pt>
                <c:pt idx="6">
                  <c:v>36254442.857142858</c:v>
                </c:pt>
                <c:pt idx="7">
                  <c:v>18784825.714285716</c:v>
                </c:pt>
                <c:pt idx="8">
                  <c:v>69161520</c:v>
                </c:pt>
                <c:pt idx="9">
                  <c:v>7852320.0000000009</c:v>
                </c:pt>
                <c:pt idx="10">
                  <c:v>15561840</c:v>
                </c:pt>
                <c:pt idx="11">
                  <c:v>76594560</c:v>
                </c:pt>
                <c:pt idx="12">
                  <c:v>199139520</c:v>
                </c:pt>
                <c:pt idx="13">
                  <c:v>4477333</c:v>
                </c:pt>
                <c:pt idx="14">
                  <c:v>27971184</c:v>
                </c:pt>
                <c:pt idx="15">
                  <c:v>312785445</c:v>
                </c:pt>
                <c:pt idx="16">
                  <c:v>8006320</c:v>
                </c:pt>
                <c:pt idx="17">
                  <c:v>16896000</c:v>
                </c:pt>
                <c:pt idx="18">
                  <c:v>148505780</c:v>
                </c:pt>
                <c:pt idx="19">
                  <c:v>206379888</c:v>
                </c:pt>
              </c:numCache>
            </c:numRef>
          </c:xVal>
          <c:yVal>
            <c:numRef>
              <c:f>'results Samsung'!$D$2:$D$21</c:f>
              <c:numCache>
                <c:formatCode>General</c:formatCode>
                <c:ptCount val="20"/>
                <c:pt idx="0">
                  <c:v>14.881551217</c:v>
                </c:pt>
                <c:pt idx="1">
                  <c:v>3.7101145010000001</c:v>
                </c:pt>
                <c:pt idx="2">
                  <c:v>2.4201209000000001E-2</c:v>
                </c:pt>
                <c:pt idx="3">
                  <c:v>17.286039926000001</c:v>
                </c:pt>
                <c:pt idx="4">
                  <c:v>5.7613987099999999</c:v>
                </c:pt>
                <c:pt idx="5">
                  <c:v>56.871197109999997</c:v>
                </c:pt>
                <c:pt idx="6">
                  <c:v>3.774580544</c:v>
                </c:pt>
                <c:pt idx="7">
                  <c:v>1.979712044</c:v>
                </c:pt>
                <c:pt idx="8">
                  <c:v>8.3578486289999994</c:v>
                </c:pt>
                <c:pt idx="9">
                  <c:v>0.83618554199999995</c:v>
                </c:pt>
                <c:pt idx="10">
                  <c:v>1.211353578</c:v>
                </c:pt>
                <c:pt idx="11">
                  <c:v>7.2637875779999996</c:v>
                </c:pt>
                <c:pt idx="12">
                  <c:v>21.441141460000001</c:v>
                </c:pt>
                <c:pt idx="13">
                  <c:v>0.321654204</c:v>
                </c:pt>
                <c:pt idx="14">
                  <c:v>3.1699374320000002</c:v>
                </c:pt>
                <c:pt idx="15">
                  <c:v>46.570273151999999</c:v>
                </c:pt>
                <c:pt idx="16">
                  <c:v>0.55031283399999997</c:v>
                </c:pt>
                <c:pt idx="17">
                  <c:v>1.829116435</c:v>
                </c:pt>
                <c:pt idx="18">
                  <c:v>23.357515638999999</c:v>
                </c:pt>
                <c:pt idx="19">
                  <c:v>27.590416600000001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039088"/>
        <c:axId val="898050512"/>
      </c:scatterChart>
      <c:valAx>
        <c:axId val="89803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050512"/>
        <c:crosses val="autoZero"/>
        <c:crossBetween val="midCat"/>
      </c:valAx>
      <c:valAx>
        <c:axId val="89805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03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0" i="0" u="none" strike="noStrike" baseline="0">
                <a:effectLst/>
              </a:rPr>
              <a:t>ARMv7 complexity</a:t>
            </a:r>
            <a:endParaRPr lang="es-A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'results Samsung'!$B$2:$B$21</c:f>
              <c:numCache>
                <c:formatCode>General</c:formatCode>
                <c:ptCount val="20"/>
                <c:pt idx="0">
                  <c:v>133009968</c:v>
                </c:pt>
                <c:pt idx="1">
                  <c:v>37324350</c:v>
                </c:pt>
                <c:pt idx="2">
                  <c:v>296408</c:v>
                </c:pt>
                <c:pt idx="3">
                  <c:v>200539944</c:v>
                </c:pt>
                <c:pt idx="4">
                  <c:v>70011354</c:v>
                </c:pt>
                <c:pt idx="5">
                  <c:v>522559392</c:v>
                </c:pt>
                <c:pt idx="6">
                  <c:v>50756220</c:v>
                </c:pt>
                <c:pt idx="7">
                  <c:v>26298756</c:v>
                </c:pt>
                <c:pt idx="8">
                  <c:v>96826128</c:v>
                </c:pt>
                <c:pt idx="9">
                  <c:v>10993248</c:v>
                </c:pt>
                <c:pt idx="10">
                  <c:v>15561840</c:v>
                </c:pt>
                <c:pt idx="11">
                  <c:v>76594560</c:v>
                </c:pt>
                <c:pt idx="12">
                  <c:v>199139520</c:v>
                </c:pt>
                <c:pt idx="13">
                  <c:v>4477333</c:v>
                </c:pt>
                <c:pt idx="14">
                  <c:v>27971184</c:v>
                </c:pt>
                <c:pt idx="15">
                  <c:v>312785445</c:v>
                </c:pt>
                <c:pt idx="16">
                  <c:v>8006320</c:v>
                </c:pt>
                <c:pt idx="17">
                  <c:v>16896000</c:v>
                </c:pt>
                <c:pt idx="18">
                  <c:v>148505780</c:v>
                </c:pt>
                <c:pt idx="19">
                  <c:v>206379888</c:v>
                </c:pt>
              </c:numCache>
            </c:numRef>
          </c:xVal>
          <c:yVal>
            <c:numRef>
              <c:f>'results Samsung'!$D$2:$D$21</c:f>
              <c:numCache>
                <c:formatCode>General</c:formatCode>
                <c:ptCount val="20"/>
                <c:pt idx="0">
                  <c:v>14.881551217</c:v>
                </c:pt>
                <c:pt idx="1">
                  <c:v>3.7101145010000001</c:v>
                </c:pt>
                <c:pt idx="2">
                  <c:v>2.4201209000000001E-2</c:v>
                </c:pt>
                <c:pt idx="3">
                  <c:v>17.286039926000001</c:v>
                </c:pt>
                <c:pt idx="4">
                  <c:v>5.7613987099999999</c:v>
                </c:pt>
                <c:pt idx="5">
                  <c:v>56.871197109999997</c:v>
                </c:pt>
                <c:pt idx="6">
                  <c:v>3.774580544</c:v>
                </c:pt>
                <c:pt idx="7">
                  <c:v>1.979712044</c:v>
                </c:pt>
                <c:pt idx="8">
                  <c:v>8.3578486289999994</c:v>
                </c:pt>
                <c:pt idx="9">
                  <c:v>0.83618554199999995</c:v>
                </c:pt>
                <c:pt idx="10">
                  <c:v>1.211353578</c:v>
                </c:pt>
                <c:pt idx="11">
                  <c:v>7.2637875779999996</c:v>
                </c:pt>
                <c:pt idx="12">
                  <c:v>21.441141460000001</c:v>
                </c:pt>
                <c:pt idx="13">
                  <c:v>0.321654204</c:v>
                </c:pt>
                <c:pt idx="14">
                  <c:v>3.1699374320000002</c:v>
                </c:pt>
                <c:pt idx="15">
                  <c:v>46.570273151999999</c:v>
                </c:pt>
                <c:pt idx="16">
                  <c:v>0.55031283399999997</c:v>
                </c:pt>
                <c:pt idx="17">
                  <c:v>1.829116435</c:v>
                </c:pt>
                <c:pt idx="18">
                  <c:v>23.357515638999999</c:v>
                </c:pt>
                <c:pt idx="19">
                  <c:v>27.590416600000001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8041808"/>
        <c:axId val="898040720"/>
      </c:scatterChart>
      <c:valAx>
        <c:axId val="89804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040720"/>
        <c:crosses val="autoZero"/>
        <c:crossBetween val="midCat"/>
      </c:valAx>
      <c:valAx>
        <c:axId val="89804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04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800" b="0" i="0" baseline="0">
                <a:effectLst/>
              </a:rPr>
              <a:t>AArch64 complexity over frequency</a:t>
            </a:r>
            <a:endParaRPr lang="es-AR">
              <a:effectLst/>
            </a:endParaRPr>
          </a:p>
        </c:rich>
      </c:tx>
      <c:layout>
        <c:manualLayout>
          <c:xMode val="edge"/>
          <c:yMode val="edge"/>
          <c:x val="0.1265207786526684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6013823272090988"/>
                  <c:y val="6.902777777777777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'results Samsung'!$C$22:$C$41</c:f>
              <c:numCache>
                <c:formatCode>General</c:formatCode>
                <c:ptCount val="20"/>
                <c:pt idx="0">
                  <c:v>145529885.67395908</c:v>
                </c:pt>
                <c:pt idx="1">
                  <c:v>26089498.941425547</c:v>
                </c:pt>
                <c:pt idx="2">
                  <c:v>228559456.59844741</c:v>
                </c:pt>
                <c:pt idx="3">
                  <c:v>482820306.9865914</c:v>
                </c:pt>
                <c:pt idx="4">
                  <c:v>123164064.22018348</c:v>
                </c:pt>
                <c:pt idx="5">
                  <c:v>48951179.957657024</c:v>
                </c:pt>
                <c:pt idx="6">
                  <c:v>1971895.553987297</c:v>
                </c:pt>
                <c:pt idx="7">
                  <c:v>220341002.11714891</c:v>
                </c:pt>
                <c:pt idx="8">
                  <c:v>1699799.5765702187</c:v>
                </c:pt>
                <c:pt idx="9">
                  <c:v>28755031.75723359</c:v>
                </c:pt>
                <c:pt idx="10">
                  <c:v>13381263.905325444</c:v>
                </c:pt>
                <c:pt idx="11">
                  <c:v>407573337.27810651</c:v>
                </c:pt>
                <c:pt idx="12">
                  <c:v>645443.78698224854</c:v>
                </c:pt>
                <c:pt idx="13">
                  <c:v>31305791.715976331</c:v>
                </c:pt>
                <c:pt idx="14">
                  <c:v>55855029.585798815</c:v>
                </c:pt>
                <c:pt idx="15">
                  <c:v>4086111.2426035502</c:v>
                </c:pt>
                <c:pt idx="16">
                  <c:v>36731668.639053255</c:v>
                </c:pt>
                <c:pt idx="17">
                  <c:v>172890319.52662721</c:v>
                </c:pt>
                <c:pt idx="18">
                  <c:v>40480043.195266277</c:v>
                </c:pt>
                <c:pt idx="19">
                  <c:v>7548923.076923077</c:v>
                </c:pt>
              </c:numCache>
            </c:numRef>
          </c:xVal>
          <c:yVal>
            <c:numRef>
              <c:f>'results Samsung'!$D$22:$D$41</c:f>
              <c:numCache>
                <c:formatCode>General</c:formatCode>
                <c:ptCount val="20"/>
                <c:pt idx="0">
                  <c:v>47.08656508</c:v>
                </c:pt>
                <c:pt idx="1">
                  <c:v>3.2382596160000001</c:v>
                </c:pt>
                <c:pt idx="2">
                  <c:v>77.902932465999996</c:v>
                </c:pt>
                <c:pt idx="3">
                  <c:v>159.560362548</c:v>
                </c:pt>
                <c:pt idx="4">
                  <c:v>35.835781848000003</c:v>
                </c:pt>
                <c:pt idx="5">
                  <c:v>15.919603462</c:v>
                </c:pt>
                <c:pt idx="6">
                  <c:v>0.13104384599999999</c:v>
                </c:pt>
                <c:pt idx="7">
                  <c:v>74.549528926999997</c:v>
                </c:pt>
                <c:pt idx="8">
                  <c:v>0.14186653900000001</c:v>
                </c:pt>
                <c:pt idx="9">
                  <c:v>6.2376706159999999</c:v>
                </c:pt>
                <c:pt idx="10">
                  <c:v>1.6861897690000001</c:v>
                </c:pt>
                <c:pt idx="11">
                  <c:v>149.764525163</c:v>
                </c:pt>
                <c:pt idx="12">
                  <c:v>4.786377E-2</c:v>
                </c:pt>
                <c:pt idx="13">
                  <c:v>8.9964240780000004</c:v>
                </c:pt>
                <c:pt idx="14">
                  <c:v>13.896853539</c:v>
                </c:pt>
                <c:pt idx="15">
                  <c:v>0.38915822999999999</c:v>
                </c:pt>
                <c:pt idx="16">
                  <c:v>13.616222693999999</c:v>
                </c:pt>
                <c:pt idx="17">
                  <c:v>59.994053004000001</c:v>
                </c:pt>
                <c:pt idx="18">
                  <c:v>13.804981769999999</c:v>
                </c:pt>
                <c:pt idx="19">
                  <c:v>0.50968292400000004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630480"/>
        <c:axId val="898040176"/>
      </c:scatterChart>
      <c:valAx>
        <c:axId val="9286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040176"/>
        <c:crosses val="autoZero"/>
        <c:crossBetween val="midCat"/>
      </c:valAx>
      <c:valAx>
        <c:axId val="89804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2863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0" i="0" u="none" strike="noStrike" baseline="0">
                <a:effectLst/>
              </a:rPr>
              <a:t>AArch64</a:t>
            </a:r>
            <a:r>
              <a:rPr lang="es-AR" sz="1800" b="0" i="0" baseline="0">
                <a:effectLst/>
              </a:rPr>
              <a:t> complexity</a:t>
            </a:r>
            <a:endParaRPr lang="es-A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3760126859142613"/>
                  <c:y val="1.557268883056284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</c:trendlineLbl>
          </c:trendline>
          <c:xVal>
            <c:numRef>
              <c:f>'results Samsung'!$B$22:$B$41</c:f>
              <c:numCache>
                <c:formatCode>General</c:formatCode>
                <c:ptCount val="20"/>
                <c:pt idx="0">
                  <c:v>206215848</c:v>
                </c:pt>
                <c:pt idx="1">
                  <c:v>36968820</c:v>
                </c:pt>
                <c:pt idx="2">
                  <c:v>323868750</c:v>
                </c:pt>
                <c:pt idx="3">
                  <c:v>684156375</c:v>
                </c:pt>
                <c:pt idx="4">
                  <c:v>174523479</c:v>
                </c:pt>
                <c:pt idx="5">
                  <c:v>69363822</c:v>
                </c:pt>
                <c:pt idx="6">
                  <c:v>2794176</c:v>
                </c:pt>
                <c:pt idx="7">
                  <c:v>312223200</c:v>
                </c:pt>
                <c:pt idx="8">
                  <c:v>2408616</c:v>
                </c:pt>
                <c:pt idx="9">
                  <c:v>40745880</c:v>
                </c:pt>
                <c:pt idx="10">
                  <c:v>22614336</c:v>
                </c:pt>
                <c:pt idx="11">
                  <c:v>688798940</c:v>
                </c:pt>
                <c:pt idx="12">
                  <c:v>1090800</c:v>
                </c:pt>
                <c:pt idx="13">
                  <c:v>52906788</c:v>
                </c:pt>
                <c:pt idx="14">
                  <c:v>94395000</c:v>
                </c:pt>
                <c:pt idx="15">
                  <c:v>6905528</c:v>
                </c:pt>
                <c:pt idx="16">
                  <c:v>62076520</c:v>
                </c:pt>
                <c:pt idx="17">
                  <c:v>292184640</c:v>
                </c:pt>
                <c:pt idx="18">
                  <c:v>68411273</c:v>
                </c:pt>
                <c:pt idx="19">
                  <c:v>12757680</c:v>
                </c:pt>
              </c:numCache>
            </c:numRef>
          </c:xVal>
          <c:yVal>
            <c:numRef>
              <c:f>'results Samsung'!$D$22:$D$41</c:f>
              <c:numCache>
                <c:formatCode>General</c:formatCode>
                <c:ptCount val="20"/>
                <c:pt idx="0">
                  <c:v>47.08656508</c:v>
                </c:pt>
                <c:pt idx="1">
                  <c:v>3.2382596160000001</c:v>
                </c:pt>
                <c:pt idx="2">
                  <c:v>77.902932465999996</c:v>
                </c:pt>
                <c:pt idx="3">
                  <c:v>159.560362548</c:v>
                </c:pt>
                <c:pt idx="4">
                  <c:v>35.835781848000003</c:v>
                </c:pt>
                <c:pt idx="5">
                  <c:v>15.919603462</c:v>
                </c:pt>
                <c:pt idx="6">
                  <c:v>0.13104384599999999</c:v>
                </c:pt>
                <c:pt idx="7">
                  <c:v>74.549528926999997</c:v>
                </c:pt>
                <c:pt idx="8">
                  <c:v>0.14186653900000001</c:v>
                </c:pt>
                <c:pt idx="9">
                  <c:v>6.2376706159999999</c:v>
                </c:pt>
                <c:pt idx="10">
                  <c:v>1.6861897690000001</c:v>
                </c:pt>
                <c:pt idx="11">
                  <c:v>149.764525163</c:v>
                </c:pt>
                <c:pt idx="12">
                  <c:v>4.786377E-2</c:v>
                </c:pt>
                <c:pt idx="13">
                  <c:v>8.9964240780000004</c:v>
                </c:pt>
                <c:pt idx="14">
                  <c:v>13.896853539</c:v>
                </c:pt>
                <c:pt idx="15">
                  <c:v>0.38915822999999999</c:v>
                </c:pt>
                <c:pt idx="16">
                  <c:v>13.616222693999999</c:v>
                </c:pt>
                <c:pt idx="17">
                  <c:v>59.994053004000001</c:v>
                </c:pt>
                <c:pt idx="18">
                  <c:v>13.804981769999999</c:v>
                </c:pt>
                <c:pt idx="19">
                  <c:v>0.50968292400000004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996272"/>
        <c:axId val="928997904"/>
      </c:scatterChart>
      <c:valAx>
        <c:axId val="92899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28997904"/>
        <c:crosses val="autoZero"/>
        <c:crossBetween val="midCat"/>
      </c:valAx>
      <c:valAx>
        <c:axId val="9289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2899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561974</xdr:colOff>
      <xdr:row>35</xdr:row>
      <xdr:rowOff>38100</xdr:rowOff>
    </xdr:from>
    <xdr:to>
      <xdr:col>5</xdr:col>
      <xdr:colOff>676275</xdr:colOff>
      <xdr:row>50</xdr:row>
      <xdr:rowOff>180975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623887</xdr:colOff>
      <xdr:row>0</xdr:row>
      <xdr:rowOff>161925</xdr:rowOff>
    </xdr:from>
    <xdr:to>
      <xdr:col>5</xdr:col>
      <xdr:colOff>585787</xdr:colOff>
      <xdr:row>15</xdr:row>
      <xdr:rowOff>47625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814387</xdr:colOff>
      <xdr:row>0</xdr:row>
      <xdr:rowOff>161925</xdr:rowOff>
    </xdr:from>
    <xdr:to>
      <xdr:col>10</xdr:col>
      <xdr:colOff>614362</xdr:colOff>
      <xdr:row>15</xdr:row>
      <xdr:rowOff>47625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142875</xdr:colOff>
      <xdr:row>15</xdr:row>
      <xdr:rowOff>152400</xdr:rowOff>
    </xdr:from>
    <xdr:to>
      <xdr:col>5</xdr:col>
      <xdr:colOff>104775</xdr:colOff>
      <xdr:row>30</xdr:row>
      <xdr:rowOff>38100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209550</xdr:colOff>
      <xdr:row>15</xdr:row>
      <xdr:rowOff>104775</xdr:rowOff>
    </xdr:from>
    <xdr:to>
      <xdr:col>11</xdr:col>
      <xdr:colOff>209550</xdr:colOff>
      <xdr:row>29</xdr:row>
      <xdr:rowOff>180975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tabSelected="1" topLeftCell="A29" workbookViewId="0">
      <selection activeCell="M22" sqref="M22"/>
    </sheetView>
  </sheetViews>
  <sheetFormatPr baseColWidth="10" defaultRowHeight="15" x14ac:dyDescent="0.25"/>
  <cols>
    <col min="2" max="3" width="13.7109375" customWidth="1"/>
    <col min="4" max="4" width="15.85546875" customWidth="1"/>
    <col min="5" max="5" width="14.42578125" customWidth="1"/>
    <col min="11" max="12" width="11.42578125" customWidth="1"/>
  </cols>
  <sheetData>
    <row r="1" spans="1:19" x14ac:dyDescent="0.25">
      <c r="A1" t="s">
        <v>0</v>
      </c>
      <c r="B1" t="s">
        <v>18</v>
      </c>
      <c r="C1" t="s">
        <v>23</v>
      </c>
      <c r="D1" t="s">
        <v>1</v>
      </c>
      <c r="E1" t="s">
        <v>15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22</v>
      </c>
    </row>
    <row r="2" spans="1:19" x14ac:dyDescent="0.25">
      <c r="A2">
        <v>0</v>
      </c>
      <c r="B2">
        <f>Q2*R2*I2</f>
        <v>133009968</v>
      </c>
      <c r="C2">
        <f>Q2*R2*I2/S2</f>
        <v>95007120</v>
      </c>
      <c r="D2">
        <v>14.881551217</v>
      </c>
      <c r="E2" t="s">
        <v>17</v>
      </c>
      <c r="F2">
        <v>4851</v>
      </c>
      <c r="G2">
        <v>4</v>
      </c>
      <c r="H2">
        <v>1239</v>
      </c>
      <c r="I2">
        <v>823</v>
      </c>
      <c r="J2">
        <v>820</v>
      </c>
      <c r="K2">
        <v>1</v>
      </c>
      <c r="L2">
        <v>235</v>
      </c>
      <c r="M2" t="s">
        <v>16</v>
      </c>
      <c r="N2">
        <v>2524</v>
      </c>
      <c r="O2">
        <v>9354</v>
      </c>
      <c r="P2">
        <v>849</v>
      </c>
      <c r="Q2">
        <v>777</v>
      </c>
      <c r="R2">
        <v>208</v>
      </c>
      <c r="S2">
        <v>1.4</v>
      </c>
    </row>
    <row r="3" spans="1:19" x14ac:dyDescent="0.25">
      <c r="A3">
        <v>1</v>
      </c>
      <c r="B3">
        <f t="shared" ref="B3:B32" si="0">Q3*R3*I3</f>
        <v>37324350</v>
      </c>
      <c r="C3">
        <f>Q3*R3*I3/S3</f>
        <v>26660250</v>
      </c>
      <c r="D3">
        <v>3.7101145010000001</v>
      </c>
      <c r="E3" t="s">
        <v>17</v>
      </c>
      <c r="F3">
        <v>4851</v>
      </c>
      <c r="G3">
        <v>4</v>
      </c>
      <c r="H3">
        <v>1239</v>
      </c>
      <c r="I3">
        <v>850</v>
      </c>
      <c r="J3">
        <v>820</v>
      </c>
      <c r="K3">
        <v>1</v>
      </c>
      <c r="L3">
        <v>240</v>
      </c>
      <c r="M3" t="s">
        <v>16</v>
      </c>
      <c r="N3">
        <v>2524</v>
      </c>
      <c r="O3">
        <v>9354</v>
      </c>
      <c r="P3">
        <v>849</v>
      </c>
      <c r="Q3">
        <v>287</v>
      </c>
      <c r="R3">
        <v>153</v>
      </c>
      <c r="S3">
        <v>1.4</v>
      </c>
    </row>
    <row r="4" spans="1:19" x14ac:dyDescent="0.25">
      <c r="A4">
        <v>2</v>
      </c>
      <c r="B4">
        <f t="shared" si="0"/>
        <v>296408</v>
      </c>
      <c r="C4">
        <f t="shared" ref="C4:C41" si="1">Q4*R4*I4/S4</f>
        <v>211720</v>
      </c>
      <c r="D4">
        <v>2.4201209000000001E-2</v>
      </c>
      <c r="E4" t="s">
        <v>17</v>
      </c>
      <c r="F4">
        <v>4851</v>
      </c>
      <c r="G4">
        <v>4</v>
      </c>
      <c r="H4">
        <v>1239</v>
      </c>
      <c r="I4">
        <v>2</v>
      </c>
      <c r="J4">
        <v>820</v>
      </c>
      <c r="K4">
        <v>1</v>
      </c>
      <c r="L4">
        <v>240</v>
      </c>
      <c r="M4" t="s">
        <v>16</v>
      </c>
      <c r="N4">
        <v>2524</v>
      </c>
      <c r="O4">
        <v>9354</v>
      </c>
      <c r="P4">
        <v>849</v>
      </c>
      <c r="Q4">
        <v>158</v>
      </c>
      <c r="R4">
        <v>938</v>
      </c>
      <c r="S4">
        <v>1.4</v>
      </c>
    </row>
    <row r="5" spans="1:19" x14ac:dyDescent="0.25">
      <c r="A5">
        <v>3</v>
      </c>
      <c r="B5">
        <f t="shared" si="0"/>
        <v>200539944</v>
      </c>
      <c r="C5">
        <f t="shared" si="1"/>
        <v>143242817.14285716</v>
      </c>
      <c r="D5">
        <v>17.286039926000001</v>
      </c>
      <c r="E5" t="s">
        <v>17</v>
      </c>
      <c r="F5">
        <v>4851</v>
      </c>
      <c r="G5">
        <v>4</v>
      </c>
      <c r="H5">
        <v>1239</v>
      </c>
      <c r="I5">
        <v>436</v>
      </c>
      <c r="J5">
        <v>820</v>
      </c>
      <c r="K5">
        <v>1</v>
      </c>
      <c r="L5">
        <v>239</v>
      </c>
      <c r="M5" t="s">
        <v>16</v>
      </c>
      <c r="N5">
        <v>2524</v>
      </c>
      <c r="O5">
        <v>9354</v>
      </c>
      <c r="P5">
        <v>849</v>
      </c>
      <c r="Q5">
        <v>506</v>
      </c>
      <c r="R5">
        <v>909</v>
      </c>
      <c r="S5">
        <v>1.4</v>
      </c>
    </row>
    <row r="6" spans="1:19" x14ac:dyDescent="0.25">
      <c r="A6">
        <v>4</v>
      </c>
      <c r="B6">
        <f t="shared" si="0"/>
        <v>70011354</v>
      </c>
      <c r="C6">
        <f t="shared" si="1"/>
        <v>50008110</v>
      </c>
      <c r="D6">
        <v>5.7613987099999999</v>
      </c>
      <c r="E6" t="s">
        <v>17</v>
      </c>
      <c r="F6">
        <v>4851</v>
      </c>
      <c r="G6">
        <v>4</v>
      </c>
      <c r="H6">
        <v>1239</v>
      </c>
      <c r="I6">
        <v>373</v>
      </c>
      <c r="J6">
        <v>820</v>
      </c>
      <c r="K6">
        <v>1</v>
      </c>
      <c r="L6">
        <v>238</v>
      </c>
      <c r="M6" t="s">
        <v>16</v>
      </c>
      <c r="N6">
        <v>2524</v>
      </c>
      <c r="O6">
        <v>9354</v>
      </c>
      <c r="P6">
        <v>849</v>
      </c>
      <c r="Q6">
        <v>654</v>
      </c>
      <c r="R6">
        <v>287</v>
      </c>
      <c r="S6">
        <v>1.4</v>
      </c>
    </row>
    <row r="7" spans="1:19" x14ac:dyDescent="0.25">
      <c r="A7">
        <v>5</v>
      </c>
      <c r="B7">
        <f t="shared" si="0"/>
        <v>522559392</v>
      </c>
      <c r="C7">
        <f t="shared" si="1"/>
        <v>373256708.5714286</v>
      </c>
      <c r="D7">
        <v>56.871197109999997</v>
      </c>
      <c r="E7" t="s">
        <v>17</v>
      </c>
      <c r="F7">
        <v>4851</v>
      </c>
      <c r="G7">
        <v>4</v>
      </c>
      <c r="H7">
        <v>1239</v>
      </c>
      <c r="I7">
        <v>914</v>
      </c>
      <c r="J7">
        <v>820</v>
      </c>
      <c r="K7">
        <v>1</v>
      </c>
      <c r="L7">
        <v>240</v>
      </c>
      <c r="M7" t="s">
        <v>16</v>
      </c>
      <c r="N7">
        <v>2524</v>
      </c>
      <c r="O7">
        <v>9354</v>
      </c>
      <c r="P7">
        <v>849</v>
      </c>
      <c r="Q7">
        <v>688</v>
      </c>
      <c r="R7">
        <v>831</v>
      </c>
      <c r="S7">
        <v>1.4</v>
      </c>
    </row>
    <row r="8" spans="1:19" x14ac:dyDescent="0.25">
      <c r="A8">
        <v>6</v>
      </c>
      <c r="B8">
        <f t="shared" si="0"/>
        <v>50756220</v>
      </c>
      <c r="C8">
        <f t="shared" si="1"/>
        <v>36254442.857142858</v>
      </c>
      <c r="D8">
        <v>3.774580544</v>
      </c>
      <c r="E8" t="s">
        <v>17</v>
      </c>
      <c r="F8">
        <v>4851</v>
      </c>
      <c r="G8">
        <v>4</v>
      </c>
      <c r="H8">
        <v>1239</v>
      </c>
      <c r="I8">
        <v>171</v>
      </c>
      <c r="J8">
        <v>820</v>
      </c>
      <c r="K8">
        <v>1</v>
      </c>
      <c r="L8">
        <v>242</v>
      </c>
      <c r="M8" t="s">
        <v>16</v>
      </c>
      <c r="N8">
        <v>2524</v>
      </c>
      <c r="O8">
        <v>9354</v>
      </c>
      <c r="P8">
        <v>849</v>
      </c>
      <c r="Q8">
        <v>873</v>
      </c>
      <c r="R8">
        <v>340</v>
      </c>
      <c r="S8">
        <v>1.4</v>
      </c>
    </row>
    <row r="9" spans="1:19" x14ac:dyDescent="0.25">
      <c r="A9">
        <v>7</v>
      </c>
      <c r="B9">
        <f t="shared" si="0"/>
        <v>26298756</v>
      </c>
      <c r="C9">
        <f t="shared" si="1"/>
        <v>18784825.714285716</v>
      </c>
      <c r="D9">
        <v>1.979712044</v>
      </c>
      <c r="E9" t="s">
        <v>17</v>
      </c>
      <c r="F9">
        <v>4851</v>
      </c>
      <c r="G9">
        <v>4</v>
      </c>
      <c r="H9">
        <v>1239</v>
      </c>
      <c r="I9">
        <v>628</v>
      </c>
      <c r="J9">
        <v>820</v>
      </c>
      <c r="K9">
        <v>1</v>
      </c>
      <c r="L9">
        <v>242</v>
      </c>
      <c r="M9" t="s">
        <v>16</v>
      </c>
      <c r="N9">
        <v>2524</v>
      </c>
      <c r="O9">
        <v>9354</v>
      </c>
      <c r="P9">
        <v>849</v>
      </c>
      <c r="Q9">
        <v>99</v>
      </c>
      <c r="R9">
        <v>423</v>
      </c>
      <c r="S9">
        <v>1.4</v>
      </c>
    </row>
    <row r="10" spans="1:19" x14ac:dyDescent="0.25">
      <c r="A10">
        <v>8</v>
      </c>
      <c r="B10">
        <f t="shared" si="0"/>
        <v>96826128</v>
      </c>
      <c r="C10">
        <f t="shared" si="1"/>
        <v>69161520</v>
      </c>
      <c r="D10">
        <v>8.3578486289999994</v>
      </c>
      <c r="E10" t="s">
        <v>17</v>
      </c>
      <c r="F10">
        <v>4851</v>
      </c>
      <c r="G10">
        <v>4</v>
      </c>
      <c r="H10">
        <v>1239</v>
      </c>
      <c r="I10">
        <v>523</v>
      </c>
      <c r="J10">
        <v>820</v>
      </c>
      <c r="K10">
        <v>1</v>
      </c>
      <c r="L10">
        <v>243</v>
      </c>
      <c r="M10" t="s">
        <v>16</v>
      </c>
      <c r="N10">
        <v>2524</v>
      </c>
      <c r="O10">
        <v>9354</v>
      </c>
      <c r="P10">
        <v>849</v>
      </c>
      <c r="Q10">
        <v>456</v>
      </c>
      <c r="R10">
        <v>406</v>
      </c>
      <c r="S10">
        <v>1.4</v>
      </c>
    </row>
    <row r="11" spans="1:19" x14ac:dyDescent="0.25">
      <c r="A11">
        <v>9</v>
      </c>
      <c r="B11">
        <f t="shared" si="0"/>
        <v>10993248</v>
      </c>
      <c r="C11">
        <f t="shared" si="1"/>
        <v>7852320.0000000009</v>
      </c>
      <c r="D11">
        <v>0.83618554199999995</v>
      </c>
      <c r="E11" t="s">
        <v>17</v>
      </c>
      <c r="F11">
        <v>4851</v>
      </c>
      <c r="G11">
        <v>4</v>
      </c>
      <c r="H11">
        <v>1239</v>
      </c>
      <c r="I11">
        <v>441</v>
      </c>
      <c r="J11">
        <v>820</v>
      </c>
      <c r="K11">
        <v>1</v>
      </c>
      <c r="L11">
        <v>244</v>
      </c>
      <c r="M11" t="s">
        <v>16</v>
      </c>
      <c r="N11">
        <v>2524</v>
      </c>
      <c r="O11">
        <v>9354</v>
      </c>
      <c r="P11">
        <v>849</v>
      </c>
      <c r="Q11">
        <v>304</v>
      </c>
      <c r="R11">
        <v>82</v>
      </c>
      <c r="S11">
        <v>1.4</v>
      </c>
    </row>
    <row r="12" spans="1:19" x14ac:dyDescent="0.25">
      <c r="A12">
        <v>0</v>
      </c>
      <c r="B12">
        <f>Q12*R12*I12</f>
        <v>15561840</v>
      </c>
      <c r="C12">
        <f>Q12*R12*I12/S12</f>
        <v>15561840</v>
      </c>
      <c r="D12">
        <v>1.211353578</v>
      </c>
      <c r="E12" t="s">
        <v>21</v>
      </c>
      <c r="F12">
        <v>2835</v>
      </c>
      <c r="G12">
        <v>2</v>
      </c>
      <c r="H12">
        <v>2282</v>
      </c>
      <c r="I12">
        <v>826</v>
      </c>
      <c r="J12">
        <v>829</v>
      </c>
      <c r="K12">
        <v>1</v>
      </c>
      <c r="L12">
        <v>283</v>
      </c>
      <c r="M12" t="s">
        <v>16</v>
      </c>
      <c r="N12">
        <v>1884</v>
      </c>
      <c r="O12">
        <v>3559</v>
      </c>
      <c r="P12">
        <v>570</v>
      </c>
      <c r="Q12">
        <v>60</v>
      </c>
      <c r="R12">
        <v>314</v>
      </c>
      <c r="S12">
        <v>1</v>
      </c>
    </row>
    <row r="13" spans="1:19" x14ac:dyDescent="0.25">
      <c r="A13">
        <v>1</v>
      </c>
      <c r="B13">
        <f>Q13*R13*I13</f>
        <v>76594560</v>
      </c>
      <c r="C13">
        <f>Q13*R13*I13/S13</f>
        <v>76594560</v>
      </c>
      <c r="D13">
        <v>7.2637875779999996</v>
      </c>
      <c r="E13" t="s">
        <v>21</v>
      </c>
      <c r="F13">
        <v>2835</v>
      </c>
      <c r="G13">
        <v>2</v>
      </c>
      <c r="H13">
        <v>2282</v>
      </c>
      <c r="I13">
        <v>80</v>
      </c>
      <c r="J13">
        <v>829</v>
      </c>
      <c r="K13">
        <v>1</v>
      </c>
      <c r="L13">
        <v>277</v>
      </c>
      <c r="M13" t="s">
        <v>16</v>
      </c>
      <c r="N13">
        <v>1884</v>
      </c>
      <c r="O13">
        <v>3559</v>
      </c>
      <c r="P13">
        <v>570</v>
      </c>
      <c r="Q13">
        <v>984</v>
      </c>
      <c r="R13">
        <v>973</v>
      </c>
      <c r="S13">
        <v>1</v>
      </c>
    </row>
    <row r="14" spans="1:19" x14ac:dyDescent="0.25">
      <c r="A14">
        <v>2</v>
      </c>
      <c r="B14">
        <f>Q14*R14*I14</f>
        <v>199139520</v>
      </c>
      <c r="C14">
        <f>Q14*R14*I14/S14</f>
        <v>199139520</v>
      </c>
      <c r="D14">
        <v>21.441141460000001</v>
      </c>
      <c r="E14" t="s">
        <v>21</v>
      </c>
      <c r="F14">
        <v>2835</v>
      </c>
      <c r="G14">
        <v>2</v>
      </c>
      <c r="H14">
        <v>2282</v>
      </c>
      <c r="I14">
        <v>622</v>
      </c>
      <c r="J14">
        <v>829</v>
      </c>
      <c r="K14">
        <v>1</v>
      </c>
      <c r="L14">
        <v>271</v>
      </c>
      <c r="M14" t="s">
        <v>16</v>
      </c>
      <c r="N14">
        <v>1884</v>
      </c>
      <c r="O14">
        <v>3559</v>
      </c>
      <c r="P14">
        <v>570</v>
      </c>
      <c r="Q14">
        <v>345</v>
      </c>
      <c r="R14">
        <v>928</v>
      </c>
      <c r="S14">
        <v>1</v>
      </c>
    </row>
    <row r="15" spans="1:19" x14ac:dyDescent="0.25">
      <c r="A15">
        <v>3</v>
      </c>
      <c r="B15">
        <f>Q15*R15*I15</f>
        <v>4477333</v>
      </c>
      <c r="C15">
        <f>Q15*R15*I15/S15</f>
        <v>4477333</v>
      </c>
      <c r="D15">
        <v>0.321654204</v>
      </c>
      <c r="E15" t="s">
        <v>21</v>
      </c>
      <c r="F15">
        <v>2835</v>
      </c>
      <c r="G15">
        <v>2</v>
      </c>
      <c r="H15">
        <v>2282</v>
      </c>
      <c r="I15">
        <v>413</v>
      </c>
      <c r="J15">
        <v>829</v>
      </c>
      <c r="K15">
        <v>1</v>
      </c>
      <c r="L15">
        <v>270</v>
      </c>
      <c r="M15" t="s">
        <v>16</v>
      </c>
      <c r="N15">
        <v>1884</v>
      </c>
      <c r="O15">
        <v>3559</v>
      </c>
      <c r="P15">
        <v>570</v>
      </c>
      <c r="Q15">
        <v>37</v>
      </c>
      <c r="R15">
        <v>293</v>
      </c>
      <c r="S15">
        <v>1</v>
      </c>
    </row>
    <row r="16" spans="1:19" x14ac:dyDescent="0.25">
      <c r="A16">
        <v>4</v>
      </c>
      <c r="B16">
        <f>Q16*R16*I16</f>
        <v>27971184</v>
      </c>
      <c r="C16">
        <f>Q16*R16*I16/S16</f>
        <v>27971184</v>
      </c>
      <c r="D16">
        <v>3.1699374320000002</v>
      </c>
      <c r="E16" t="s">
        <v>21</v>
      </c>
      <c r="F16">
        <v>2835</v>
      </c>
      <c r="G16">
        <v>2</v>
      </c>
      <c r="H16">
        <v>2282</v>
      </c>
      <c r="I16">
        <v>328</v>
      </c>
      <c r="J16">
        <v>829</v>
      </c>
      <c r="K16">
        <v>1</v>
      </c>
      <c r="L16">
        <v>270</v>
      </c>
      <c r="M16" t="s">
        <v>16</v>
      </c>
      <c r="N16">
        <v>1884</v>
      </c>
      <c r="O16">
        <v>3559</v>
      </c>
      <c r="P16">
        <v>570</v>
      </c>
      <c r="Q16">
        <v>366</v>
      </c>
      <c r="R16">
        <v>233</v>
      </c>
      <c r="S16">
        <v>1</v>
      </c>
    </row>
    <row r="17" spans="1:19" x14ac:dyDescent="0.25">
      <c r="A17">
        <v>5</v>
      </c>
      <c r="B17">
        <f>Q17*R17*I17</f>
        <v>312785445</v>
      </c>
      <c r="C17">
        <f>Q17*R17*I17/S17</f>
        <v>312785445</v>
      </c>
      <c r="D17">
        <v>46.570273151999999</v>
      </c>
      <c r="E17" t="s">
        <v>21</v>
      </c>
      <c r="F17">
        <v>2835</v>
      </c>
      <c r="G17">
        <v>2</v>
      </c>
      <c r="H17">
        <v>2282</v>
      </c>
      <c r="I17">
        <v>973</v>
      </c>
      <c r="J17">
        <v>829</v>
      </c>
      <c r="K17">
        <v>1</v>
      </c>
      <c r="L17">
        <v>277</v>
      </c>
      <c r="M17" t="s">
        <v>16</v>
      </c>
      <c r="N17">
        <v>1884</v>
      </c>
      <c r="O17">
        <v>3559</v>
      </c>
      <c r="P17">
        <v>570</v>
      </c>
      <c r="Q17">
        <v>739</v>
      </c>
      <c r="R17">
        <v>435</v>
      </c>
      <c r="S17">
        <v>1</v>
      </c>
    </row>
    <row r="18" spans="1:19" x14ac:dyDescent="0.25">
      <c r="A18">
        <v>6</v>
      </c>
      <c r="B18">
        <f>Q18*R18*I18</f>
        <v>8006320</v>
      </c>
      <c r="C18">
        <f>Q18*R18*I18/S18</f>
        <v>8006320</v>
      </c>
      <c r="D18">
        <v>0.55031283399999997</v>
      </c>
      <c r="E18" t="s">
        <v>21</v>
      </c>
      <c r="F18">
        <v>2835</v>
      </c>
      <c r="G18">
        <v>2</v>
      </c>
      <c r="H18">
        <v>2282</v>
      </c>
      <c r="I18">
        <v>595</v>
      </c>
      <c r="J18">
        <v>829</v>
      </c>
      <c r="K18">
        <v>1</v>
      </c>
      <c r="L18">
        <v>284</v>
      </c>
      <c r="M18" t="s">
        <v>16</v>
      </c>
      <c r="N18">
        <v>1884</v>
      </c>
      <c r="O18">
        <v>3559</v>
      </c>
      <c r="P18">
        <v>570</v>
      </c>
      <c r="Q18">
        <v>16</v>
      </c>
      <c r="R18">
        <v>841</v>
      </c>
      <c r="S18">
        <v>1</v>
      </c>
    </row>
    <row r="19" spans="1:19" x14ac:dyDescent="0.25">
      <c r="A19">
        <v>7</v>
      </c>
      <c r="B19">
        <f>Q19*R19*I19</f>
        <v>16896000</v>
      </c>
      <c r="C19">
        <f>Q19*R19*I19/S19</f>
        <v>16896000</v>
      </c>
      <c r="D19">
        <v>1.829116435</v>
      </c>
      <c r="E19" t="s">
        <v>21</v>
      </c>
      <c r="F19">
        <v>2835</v>
      </c>
      <c r="G19">
        <v>2</v>
      </c>
      <c r="H19">
        <v>2282</v>
      </c>
      <c r="I19">
        <v>500</v>
      </c>
      <c r="J19">
        <v>829</v>
      </c>
      <c r="K19">
        <v>1</v>
      </c>
      <c r="L19">
        <v>283</v>
      </c>
      <c r="M19" t="s">
        <v>16</v>
      </c>
      <c r="N19">
        <v>1884</v>
      </c>
      <c r="O19">
        <v>3559</v>
      </c>
      <c r="P19">
        <v>570</v>
      </c>
      <c r="Q19">
        <v>352</v>
      </c>
      <c r="R19">
        <v>96</v>
      </c>
      <c r="S19">
        <v>1</v>
      </c>
    </row>
    <row r="20" spans="1:19" x14ac:dyDescent="0.25">
      <c r="A20">
        <v>8</v>
      </c>
      <c r="B20">
        <f>Q20*R20*I20</f>
        <v>148505780</v>
      </c>
      <c r="C20">
        <f>Q20*R20*I20/S20</f>
        <v>148505780</v>
      </c>
      <c r="D20">
        <v>23.357515638999999</v>
      </c>
      <c r="E20" t="s">
        <v>21</v>
      </c>
      <c r="F20">
        <v>2835</v>
      </c>
      <c r="G20">
        <v>2</v>
      </c>
      <c r="H20">
        <v>2282</v>
      </c>
      <c r="I20">
        <v>386</v>
      </c>
      <c r="J20">
        <v>829</v>
      </c>
      <c r="K20">
        <v>1</v>
      </c>
      <c r="L20">
        <v>288</v>
      </c>
      <c r="M20" t="s">
        <v>16</v>
      </c>
      <c r="N20">
        <v>1884</v>
      </c>
      <c r="O20">
        <v>3559</v>
      </c>
      <c r="P20">
        <v>570</v>
      </c>
      <c r="Q20">
        <v>974</v>
      </c>
      <c r="R20">
        <v>395</v>
      </c>
      <c r="S20">
        <v>1</v>
      </c>
    </row>
    <row r="21" spans="1:19" x14ac:dyDescent="0.25">
      <c r="A21">
        <v>9</v>
      </c>
      <c r="B21">
        <f>Q21*R21*I21</f>
        <v>206379888</v>
      </c>
      <c r="C21">
        <f>Q21*R21*I21/S21</f>
        <v>206379888</v>
      </c>
      <c r="D21">
        <v>27.590416600000001</v>
      </c>
      <c r="E21" t="s">
        <v>21</v>
      </c>
      <c r="F21">
        <v>2835</v>
      </c>
      <c r="G21">
        <v>2</v>
      </c>
      <c r="H21">
        <v>2282</v>
      </c>
      <c r="I21">
        <v>858</v>
      </c>
      <c r="J21">
        <v>829</v>
      </c>
      <c r="K21">
        <v>1</v>
      </c>
      <c r="L21">
        <v>292</v>
      </c>
      <c r="M21" t="s">
        <v>16</v>
      </c>
      <c r="N21">
        <v>1884</v>
      </c>
      <c r="O21">
        <v>3559</v>
      </c>
      <c r="P21">
        <v>570</v>
      </c>
      <c r="Q21">
        <v>562</v>
      </c>
      <c r="R21">
        <v>428</v>
      </c>
      <c r="S21">
        <v>1</v>
      </c>
    </row>
    <row r="22" spans="1:19" x14ac:dyDescent="0.25">
      <c r="A22">
        <v>0</v>
      </c>
      <c r="B22">
        <f t="shared" si="0"/>
        <v>206215848</v>
      </c>
      <c r="C22">
        <f t="shared" si="1"/>
        <v>145529885.67395908</v>
      </c>
      <c r="D22">
        <v>47.08656508</v>
      </c>
      <c r="E22" t="s">
        <v>19</v>
      </c>
      <c r="F22">
        <v>36645</v>
      </c>
      <c r="G22">
        <v>8</v>
      </c>
      <c r="H22">
        <v>5383</v>
      </c>
      <c r="I22">
        <v>631</v>
      </c>
      <c r="J22">
        <v>1886</v>
      </c>
      <c r="K22">
        <v>1</v>
      </c>
      <c r="L22">
        <v>388</v>
      </c>
      <c r="M22" t="s">
        <v>20</v>
      </c>
      <c r="N22">
        <v>3598</v>
      </c>
      <c r="O22">
        <v>151265</v>
      </c>
      <c r="P22">
        <v>1370</v>
      </c>
      <c r="Q22">
        <v>612</v>
      </c>
      <c r="R22">
        <v>534</v>
      </c>
      <c r="S22">
        <v>1.417</v>
      </c>
    </row>
    <row r="23" spans="1:19" x14ac:dyDescent="0.25">
      <c r="A23">
        <v>1</v>
      </c>
      <c r="B23">
        <f t="shared" si="0"/>
        <v>36968820</v>
      </c>
      <c r="C23">
        <f t="shared" si="1"/>
        <v>26089498.941425547</v>
      </c>
      <c r="D23">
        <v>3.2382596160000001</v>
      </c>
      <c r="E23" t="s">
        <v>19</v>
      </c>
      <c r="F23">
        <v>36645</v>
      </c>
      <c r="G23">
        <v>8</v>
      </c>
      <c r="H23">
        <v>5383</v>
      </c>
      <c r="I23">
        <v>86</v>
      </c>
      <c r="J23">
        <v>1886</v>
      </c>
      <c r="K23">
        <v>1</v>
      </c>
      <c r="L23">
        <v>408</v>
      </c>
      <c r="M23" t="s">
        <v>20</v>
      </c>
      <c r="N23">
        <v>3598</v>
      </c>
      <c r="O23">
        <v>151265</v>
      </c>
      <c r="P23">
        <v>1370</v>
      </c>
      <c r="Q23">
        <v>966</v>
      </c>
      <c r="R23">
        <v>445</v>
      </c>
      <c r="S23">
        <v>1.417</v>
      </c>
    </row>
    <row r="24" spans="1:19" x14ac:dyDescent="0.25">
      <c r="A24">
        <v>2</v>
      </c>
      <c r="B24">
        <f t="shared" si="0"/>
        <v>323868750</v>
      </c>
      <c r="C24">
        <f t="shared" si="1"/>
        <v>228559456.59844741</v>
      </c>
      <c r="D24">
        <v>77.902932465999996</v>
      </c>
      <c r="E24" t="s">
        <v>19</v>
      </c>
      <c r="F24">
        <v>36645</v>
      </c>
      <c r="G24">
        <v>8</v>
      </c>
      <c r="H24">
        <v>5383</v>
      </c>
      <c r="I24">
        <v>575</v>
      </c>
      <c r="J24">
        <v>1886</v>
      </c>
      <c r="K24">
        <v>1</v>
      </c>
      <c r="L24">
        <v>408</v>
      </c>
      <c r="M24" t="s">
        <v>20</v>
      </c>
      <c r="N24">
        <v>3598</v>
      </c>
      <c r="O24">
        <v>151265</v>
      </c>
      <c r="P24">
        <v>1370</v>
      </c>
      <c r="Q24">
        <v>751</v>
      </c>
      <c r="R24">
        <v>750</v>
      </c>
      <c r="S24">
        <v>1.417</v>
      </c>
    </row>
    <row r="25" spans="1:19" x14ac:dyDescent="0.25">
      <c r="A25">
        <v>3</v>
      </c>
      <c r="B25">
        <f t="shared" si="0"/>
        <v>684156375</v>
      </c>
      <c r="C25">
        <f t="shared" si="1"/>
        <v>482820306.9865914</v>
      </c>
      <c r="D25">
        <v>159.560362548</v>
      </c>
      <c r="E25" t="s">
        <v>19</v>
      </c>
      <c r="F25">
        <v>36645</v>
      </c>
      <c r="G25">
        <v>8</v>
      </c>
      <c r="H25">
        <v>5383</v>
      </c>
      <c r="I25">
        <v>945</v>
      </c>
      <c r="J25">
        <v>1886</v>
      </c>
      <c r="K25">
        <v>1</v>
      </c>
      <c r="L25">
        <v>383</v>
      </c>
      <c r="M25" t="s">
        <v>20</v>
      </c>
      <c r="N25">
        <v>3598</v>
      </c>
      <c r="O25">
        <v>151265</v>
      </c>
      <c r="P25">
        <v>1370</v>
      </c>
      <c r="Q25">
        <v>735</v>
      </c>
      <c r="R25">
        <v>985</v>
      </c>
      <c r="S25">
        <v>1.417</v>
      </c>
    </row>
    <row r="26" spans="1:19" x14ac:dyDescent="0.25">
      <c r="A26">
        <v>4</v>
      </c>
      <c r="B26">
        <f t="shared" si="0"/>
        <v>174523479</v>
      </c>
      <c r="C26">
        <f t="shared" si="1"/>
        <v>123164064.22018348</v>
      </c>
      <c r="D26">
        <v>35.835781848000003</v>
      </c>
      <c r="E26" t="s">
        <v>19</v>
      </c>
      <c r="F26">
        <v>36645</v>
      </c>
      <c r="G26">
        <v>8</v>
      </c>
      <c r="H26">
        <v>5383</v>
      </c>
      <c r="I26">
        <v>939</v>
      </c>
      <c r="J26">
        <v>1886</v>
      </c>
      <c r="K26">
        <v>1</v>
      </c>
      <c r="L26">
        <v>356</v>
      </c>
      <c r="M26" t="s">
        <v>20</v>
      </c>
      <c r="N26">
        <v>3598</v>
      </c>
      <c r="O26">
        <v>151265</v>
      </c>
      <c r="P26">
        <v>1370</v>
      </c>
      <c r="Q26">
        <v>493</v>
      </c>
      <c r="R26">
        <v>377</v>
      </c>
      <c r="S26">
        <v>1.417</v>
      </c>
    </row>
    <row r="27" spans="1:19" x14ac:dyDescent="0.25">
      <c r="A27">
        <v>5</v>
      </c>
      <c r="B27">
        <f t="shared" si="0"/>
        <v>69363822</v>
      </c>
      <c r="C27">
        <f t="shared" si="1"/>
        <v>48951179.957657024</v>
      </c>
      <c r="D27">
        <v>15.919603462</v>
      </c>
      <c r="E27" t="s">
        <v>19</v>
      </c>
      <c r="F27">
        <v>36645</v>
      </c>
      <c r="G27">
        <v>8</v>
      </c>
      <c r="H27">
        <v>5383</v>
      </c>
      <c r="I27">
        <v>379</v>
      </c>
      <c r="J27">
        <v>1886</v>
      </c>
      <c r="K27">
        <v>1</v>
      </c>
      <c r="L27">
        <v>355</v>
      </c>
      <c r="M27" t="s">
        <v>20</v>
      </c>
      <c r="N27">
        <v>3598</v>
      </c>
      <c r="O27">
        <v>151265</v>
      </c>
      <c r="P27">
        <v>1370</v>
      </c>
      <c r="Q27">
        <v>282</v>
      </c>
      <c r="R27">
        <v>649</v>
      </c>
      <c r="S27">
        <v>1.417</v>
      </c>
    </row>
    <row r="28" spans="1:19" x14ac:dyDescent="0.25">
      <c r="A28">
        <v>6</v>
      </c>
      <c r="B28">
        <f t="shared" si="0"/>
        <v>2794176</v>
      </c>
      <c r="C28">
        <f t="shared" si="1"/>
        <v>1971895.553987297</v>
      </c>
      <c r="D28">
        <v>0.13104384599999999</v>
      </c>
      <c r="E28" t="s">
        <v>19</v>
      </c>
      <c r="F28">
        <v>36645</v>
      </c>
      <c r="G28">
        <v>8</v>
      </c>
      <c r="H28">
        <v>5383</v>
      </c>
      <c r="I28">
        <v>144</v>
      </c>
      <c r="J28">
        <v>1886</v>
      </c>
      <c r="K28">
        <v>1</v>
      </c>
      <c r="L28">
        <v>355</v>
      </c>
      <c r="M28" t="s">
        <v>20</v>
      </c>
      <c r="N28">
        <v>3598</v>
      </c>
      <c r="O28">
        <v>151265</v>
      </c>
      <c r="P28">
        <v>1370</v>
      </c>
      <c r="Q28">
        <v>28</v>
      </c>
      <c r="R28">
        <v>693</v>
      </c>
      <c r="S28">
        <v>1.417</v>
      </c>
    </row>
    <row r="29" spans="1:19" x14ac:dyDescent="0.25">
      <c r="A29">
        <v>7</v>
      </c>
      <c r="B29">
        <f t="shared" si="0"/>
        <v>312223200</v>
      </c>
      <c r="C29">
        <f t="shared" si="1"/>
        <v>220341002.11714891</v>
      </c>
      <c r="D29">
        <v>74.549528926999997</v>
      </c>
      <c r="E29" t="s">
        <v>19</v>
      </c>
      <c r="F29">
        <v>36645</v>
      </c>
      <c r="G29">
        <v>8</v>
      </c>
      <c r="H29">
        <v>5383</v>
      </c>
      <c r="I29">
        <v>835</v>
      </c>
      <c r="J29">
        <v>1886</v>
      </c>
      <c r="K29">
        <v>1</v>
      </c>
      <c r="L29">
        <v>356</v>
      </c>
      <c r="M29" t="s">
        <v>20</v>
      </c>
      <c r="N29">
        <v>3598</v>
      </c>
      <c r="O29">
        <v>151265</v>
      </c>
      <c r="P29">
        <v>1370</v>
      </c>
      <c r="Q29">
        <v>656</v>
      </c>
      <c r="R29">
        <v>570</v>
      </c>
      <c r="S29">
        <v>1.417</v>
      </c>
    </row>
    <row r="30" spans="1:19" x14ac:dyDescent="0.25">
      <c r="A30">
        <v>8</v>
      </c>
      <c r="B30">
        <f t="shared" si="0"/>
        <v>2408616</v>
      </c>
      <c r="C30">
        <f t="shared" si="1"/>
        <v>1699799.5765702187</v>
      </c>
      <c r="D30">
        <v>0.14186653900000001</v>
      </c>
      <c r="E30" t="s">
        <v>19</v>
      </c>
      <c r="F30">
        <v>36645</v>
      </c>
      <c r="G30">
        <v>8</v>
      </c>
      <c r="H30">
        <v>5383</v>
      </c>
      <c r="I30">
        <v>177</v>
      </c>
      <c r="J30">
        <v>1886</v>
      </c>
      <c r="K30">
        <v>1</v>
      </c>
      <c r="L30">
        <v>357</v>
      </c>
      <c r="M30" t="s">
        <v>20</v>
      </c>
      <c r="N30">
        <v>3598</v>
      </c>
      <c r="O30">
        <v>151265</v>
      </c>
      <c r="P30">
        <v>1370</v>
      </c>
      <c r="Q30">
        <v>216</v>
      </c>
      <c r="R30">
        <v>63</v>
      </c>
      <c r="S30">
        <v>1.417</v>
      </c>
    </row>
    <row r="31" spans="1:19" x14ac:dyDescent="0.25">
      <c r="A31">
        <v>9</v>
      </c>
      <c r="B31">
        <f t="shared" si="0"/>
        <v>40745880</v>
      </c>
      <c r="C31">
        <f t="shared" si="1"/>
        <v>28755031.75723359</v>
      </c>
      <c r="D31">
        <v>6.2376706159999999</v>
      </c>
      <c r="E31" t="s">
        <v>19</v>
      </c>
      <c r="F31">
        <v>36645</v>
      </c>
      <c r="G31">
        <v>8</v>
      </c>
      <c r="H31">
        <v>5383</v>
      </c>
      <c r="I31">
        <v>333</v>
      </c>
      <c r="J31">
        <v>1886</v>
      </c>
      <c r="K31">
        <v>1</v>
      </c>
      <c r="L31">
        <v>356</v>
      </c>
      <c r="M31" t="s">
        <v>20</v>
      </c>
      <c r="N31">
        <v>3598</v>
      </c>
      <c r="O31">
        <v>151265</v>
      </c>
      <c r="P31">
        <v>1370</v>
      </c>
      <c r="Q31">
        <v>230</v>
      </c>
      <c r="R31">
        <v>532</v>
      </c>
      <c r="S31">
        <v>1.417</v>
      </c>
    </row>
    <row r="32" spans="1:19" x14ac:dyDescent="0.25">
      <c r="A32">
        <v>0</v>
      </c>
      <c r="B32">
        <f t="shared" si="0"/>
        <v>22614336</v>
      </c>
      <c r="C32">
        <f t="shared" si="1"/>
        <v>13381263.905325444</v>
      </c>
      <c r="D32">
        <v>1.6861897690000001</v>
      </c>
      <c r="E32" t="s">
        <v>19</v>
      </c>
      <c r="I32">
        <v>207</v>
      </c>
      <c r="Q32">
        <v>192</v>
      </c>
      <c r="R32">
        <v>569</v>
      </c>
      <c r="S32">
        <v>1.69</v>
      </c>
    </row>
    <row r="33" spans="1:19" x14ac:dyDescent="0.25">
      <c r="A33">
        <v>1</v>
      </c>
      <c r="B33">
        <f t="shared" ref="B33:B41" si="2">Q33*R33*I33</f>
        <v>688798940</v>
      </c>
      <c r="C33">
        <f t="shared" si="1"/>
        <v>407573337.27810651</v>
      </c>
      <c r="D33">
        <v>149.764525163</v>
      </c>
      <c r="E33" t="s">
        <v>19</v>
      </c>
      <c r="I33">
        <v>970</v>
      </c>
      <c r="Q33">
        <v>718</v>
      </c>
      <c r="R33">
        <v>989</v>
      </c>
      <c r="S33">
        <v>1.69</v>
      </c>
    </row>
    <row r="34" spans="1:19" x14ac:dyDescent="0.25">
      <c r="A34">
        <v>2</v>
      </c>
      <c r="B34">
        <f t="shared" si="2"/>
        <v>1090800</v>
      </c>
      <c r="C34">
        <f t="shared" si="1"/>
        <v>645443.78698224854</v>
      </c>
      <c r="D34">
        <v>4.786377E-2</v>
      </c>
      <c r="E34" t="s">
        <v>19</v>
      </c>
      <c r="I34">
        <v>8</v>
      </c>
      <c r="Q34">
        <v>270</v>
      </c>
      <c r="R34">
        <v>505</v>
      </c>
      <c r="S34">
        <v>1.69</v>
      </c>
    </row>
    <row r="35" spans="1:19" x14ac:dyDescent="0.25">
      <c r="A35">
        <v>3</v>
      </c>
      <c r="B35">
        <f t="shared" si="2"/>
        <v>52906788</v>
      </c>
      <c r="C35">
        <f t="shared" si="1"/>
        <v>31305791.715976331</v>
      </c>
      <c r="D35">
        <v>8.9964240780000004</v>
      </c>
      <c r="E35" t="s">
        <v>19</v>
      </c>
      <c r="I35">
        <v>187</v>
      </c>
      <c r="Q35">
        <v>348</v>
      </c>
      <c r="R35">
        <v>813</v>
      </c>
      <c r="S35">
        <v>1.69</v>
      </c>
    </row>
    <row r="36" spans="1:19" x14ac:dyDescent="0.25">
      <c r="A36">
        <v>4</v>
      </c>
      <c r="B36">
        <f t="shared" si="2"/>
        <v>94395000</v>
      </c>
      <c r="C36">
        <f t="shared" si="1"/>
        <v>55855029.585798815</v>
      </c>
      <c r="D36">
        <v>13.896853539</v>
      </c>
      <c r="E36" t="s">
        <v>19</v>
      </c>
      <c r="I36">
        <v>155</v>
      </c>
      <c r="Q36">
        <v>700</v>
      </c>
      <c r="R36">
        <v>870</v>
      </c>
      <c r="S36">
        <v>1.69</v>
      </c>
    </row>
    <row r="37" spans="1:19" x14ac:dyDescent="0.25">
      <c r="A37">
        <v>5</v>
      </c>
      <c r="B37">
        <f t="shared" si="2"/>
        <v>6905528</v>
      </c>
      <c r="C37">
        <f t="shared" si="1"/>
        <v>4086111.2426035502</v>
      </c>
      <c r="D37">
        <v>0.38915822999999999</v>
      </c>
      <c r="E37" t="s">
        <v>19</v>
      </c>
      <c r="I37">
        <v>14</v>
      </c>
      <c r="Q37">
        <v>634</v>
      </c>
      <c r="R37">
        <v>778</v>
      </c>
      <c r="S37">
        <v>1.69</v>
      </c>
    </row>
    <row r="38" spans="1:19" x14ac:dyDescent="0.25">
      <c r="A38">
        <v>6</v>
      </c>
      <c r="B38">
        <f t="shared" si="2"/>
        <v>62076520</v>
      </c>
      <c r="C38">
        <f t="shared" si="1"/>
        <v>36731668.639053255</v>
      </c>
      <c r="D38">
        <v>13.616222693999999</v>
      </c>
      <c r="E38" t="s">
        <v>19</v>
      </c>
      <c r="I38">
        <v>374</v>
      </c>
      <c r="Q38">
        <v>965</v>
      </c>
      <c r="R38">
        <v>172</v>
      </c>
      <c r="S38">
        <v>1.69</v>
      </c>
    </row>
    <row r="39" spans="1:19" x14ac:dyDescent="0.25">
      <c r="A39">
        <v>7</v>
      </c>
      <c r="B39">
        <f t="shared" si="2"/>
        <v>292184640</v>
      </c>
      <c r="C39">
        <f t="shared" si="1"/>
        <v>172890319.52662721</v>
      </c>
      <c r="D39">
        <v>59.994053004000001</v>
      </c>
      <c r="E39" t="s">
        <v>19</v>
      </c>
      <c r="I39">
        <v>792</v>
      </c>
      <c r="Q39">
        <v>802</v>
      </c>
      <c r="R39">
        <v>460</v>
      </c>
      <c r="S39">
        <v>1.69</v>
      </c>
    </row>
    <row r="40" spans="1:19" x14ac:dyDescent="0.25">
      <c r="A40">
        <v>8</v>
      </c>
      <c r="B40">
        <f t="shared" si="2"/>
        <v>68411273</v>
      </c>
      <c r="C40">
        <f t="shared" si="1"/>
        <v>40480043.195266277</v>
      </c>
      <c r="D40">
        <v>13.804981769999999</v>
      </c>
      <c r="E40" t="s">
        <v>19</v>
      </c>
      <c r="I40">
        <v>329</v>
      </c>
      <c r="Q40">
        <v>269</v>
      </c>
      <c r="R40">
        <v>773</v>
      </c>
      <c r="S40">
        <v>1.69</v>
      </c>
    </row>
    <row r="41" spans="1:19" x14ac:dyDescent="0.25">
      <c r="A41">
        <v>9</v>
      </c>
      <c r="B41">
        <f t="shared" si="2"/>
        <v>12757680</v>
      </c>
      <c r="C41">
        <f t="shared" si="1"/>
        <v>7548923.076923077</v>
      </c>
      <c r="D41">
        <v>0.50968292400000004</v>
      </c>
      <c r="E41" t="s">
        <v>19</v>
      </c>
      <c r="I41">
        <v>435</v>
      </c>
      <c r="Q41">
        <v>47</v>
      </c>
      <c r="R41">
        <v>624</v>
      </c>
      <c r="S41">
        <v>1.69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results Samsung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 Sanchez</dc:creator>
  <cp:lastModifiedBy>Emiliano Sanchez</cp:lastModifiedBy>
  <dcterms:created xsi:type="dcterms:W3CDTF">2016-01-20T23:54:54Z</dcterms:created>
  <dcterms:modified xsi:type="dcterms:W3CDTF">2016-01-21T05:12:03Z</dcterms:modified>
</cp:coreProperties>
</file>